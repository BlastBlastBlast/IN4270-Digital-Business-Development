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lwt/Desktop/"/>
    </mc:Choice>
  </mc:AlternateContent>
  <xr:revisionPtr revIDLastSave="0" documentId="8_{8B2155B6-30CF-C146-ACEA-2B731CFA3693}" xr6:coauthVersionLast="47" xr6:coauthVersionMax="47" xr10:uidLastSave="{00000000-0000-0000-0000-000000000000}"/>
  <bookViews>
    <workbookView xWindow="6760" yWindow="780" windowWidth="26760" windowHeight="18900" xr2:uid="{00000000-000D-0000-FFFF-FFFF00000000}"/>
  </bookViews>
  <sheets>
    <sheet name="Main listing" sheetId="1" r:id="rId1"/>
    <sheet name="By industry" sheetId="2" r:id="rId2"/>
    <sheet name="Industry codes" sheetId="3" r:id="rId3"/>
  </sheets>
  <definedNames>
    <definedName name="_xlnm._FilterDatabase" localSheetId="1" hidden="1">'By industry'!$A$1:$J$501</definedName>
    <definedName name="_xlnm._FilterDatabase" localSheetId="0" hidden="1">'Main listing'!$A$1:$R$502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0" i="1" l="1"/>
  <c r="P10" i="1" s="1"/>
  <c r="I20" i="1"/>
  <c r="P20" i="1" s="1"/>
  <c r="I22" i="1"/>
  <c r="P22" i="1" s="1"/>
  <c r="I25" i="1"/>
  <c r="P25" i="1" s="1"/>
  <c r="I33" i="1"/>
  <c r="P33" i="1" s="1"/>
  <c r="I35" i="1"/>
  <c r="P35" i="1" s="1"/>
  <c r="I55" i="1"/>
  <c r="P55" i="1" s="1"/>
  <c r="I71" i="1"/>
  <c r="P71" i="1" s="1"/>
  <c r="I73" i="1"/>
  <c r="P73" i="1" s="1"/>
  <c r="I88" i="1"/>
  <c r="P88" i="1" s="1"/>
  <c r="I125" i="1"/>
  <c r="P125" i="1" s="1"/>
  <c r="I184" i="1"/>
  <c r="P184" i="1" s="1"/>
  <c r="I239" i="1"/>
  <c r="P239" i="1" s="1"/>
  <c r="I256" i="1"/>
  <c r="P256" i="1" s="1"/>
  <c r="I265" i="1"/>
  <c r="P265" i="1" s="1"/>
  <c r="I285" i="1"/>
  <c r="P285" i="1" s="1"/>
  <c r="I289" i="1"/>
  <c r="P289" i="1" s="1"/>
  <c r="I380" i="1"/>
  <c r="P380" i="1" s="1"/>
  <c r="I389" i="1"/>
  <c r="P389" i="1" s="1"/>
  <c r="I409" i="1"/>
  <c r="P409" i="1" s="1"/>
  <c r="I454" i="1"/>
  <c r="P454" i="1" s="1"/>
  <c r="I475" i="1"/>
  <c r="P475" i="1" s="1"/>
  <c r="I43" i="1"/>
  <c r="P43" i="1" s="1"/>
  <c r="I60" i="1"/>
  <c r="P60" i="1" s="1"/>
  <c r="I63" i="1"/>
  <c r="P63" i="1" s="1"/>
  <c r="I87" i="1"/>
  <c r="P87" i="1" s="1"/>
  <c r="I89" i="1"/>
  <c r="P89" i="1" s="1"/>
  <c r="I91" i="1"/>
  <c r="P91" i="1" s="1"/>
  <c r="I117" i="1"/>
  <c r="P117" i="1" s="1"/>
  <c r="I126" i="1"/>
  <c r="P126" i="1" s="1"/>
  <c r="I151" i="1"/>
  <c r="P151" i="1" s="1"/>
  <c r="I157" i="1"/>
  <c r="P157" i="1" s="1"/>
  <c r="I161" i="1"/>
  <c r="P161" i="1" s="1"/>
  <c r="I165" i="1"/>
  <c r="P165" i="1" s="1"/>
  <c r="I200" i="1"/>
  <c r="P200" i="1" s="1"/>
  <c r="I211" i="1"/>
  <c r="P211" i="1" s="1"/>
  <c r="I220" i="1"/>
  <c r="P220" i="1" s="1"/>
  <c r="I221" i="1"/>
  <c r="P221" i="1" s="1"/>
  <c r="I237" i="1"/>
  <c r="P237" i="1" s="1"/>
  <c r="I243" i="1"/>
  <c r="P243" i="1" s="1"/>
  <c r="I251" i="1"/>
  <c r="P251" i="1" s="1"/>
  <c r="I268" i="1"/>
  <c r="P268" i="1" s="1"/>
  <c r="I282" i="1"/>
  <c r="P282" i="1" s="1"/>
  <c r="I290" i="1"/>
  <c r="P290" i="1" s="1"/>
  <c r="I304" i="1"/>
  <c r="P304" i="1" s="1"/>
  <c r="I338" i="1"/>
  <c r="P338" i="1" s="1"/>
  <c r="I341" i="1"/>
  <c r="P341" i="1" s="1"/>
  <c r="I362" i="1"/>
  <c r="P362" i="1" s="1"/>
  <c r="I399" i="1"/>
  <c r="P399" i="1" s="1"/>
  <c r="I403" i="1"/>
  <c r="P403" i="1" s="1"/>
  <c r="I425" i="1"/>
  <c r="P425" i="1" s="1"/>
  <c r="I439" i="1"/>
  <c r="P439" i="1" s="1"/>
  <c r="I448" i="1"/>
  <c r="P448" i="1" s="1"/>
  <c r="I455" i="1"/>
  <c r="P455" i="1" s="1"/>
  <c r="I456" i="1"/>
  <c r="P456" i="1" s="1"/>
  <c r="I474" i="1"/>
  <c r="P474" i="1" s="1"/>
  <c r="I490" i="1"/>
  <c r="P490" i="1" s="1"/>
  <c r="I16" i="1"/>
  <c r="P16" i="1" s="1"/>
  <c r="I97" i="1"/>
  <c r="P97" i="1" s="1"/>
  <c r="I99" i="1"/>
  <c r="P99" i="1" s="1"/>
  <c r="I104" i="1"/>
  <c r="P104" i="1" s="1"/>
  <c r="I108" i="1"/>
  <c r="P108" i="1" s="1"/>
  <c r="I123" i="1"/>
  <c r="P123" i="1" s="1"/>
  <c r="I124" i="1"/>
  <c r="P124" i="1" s="1"/>
  <c r="I140" i="1"/>
  <c r="P140" i="1" s="1"/>
  <c r="I232" i="1"/>
  <c r="P232" i="1" s="1"/>
  <c r="I271" i="1"/>
  <c r="P271" i="1" s="1"/>
  <c r="I292" i="1"/>
  <c r="P292" i="1" s="1"/>
  <c r="I301" i="1"/>
  <c r="P301" i="1" s="1"/>
  <c r="I337" i="1"/>
  <c r="P337" i="1" s="1"/>
  <c r="I368" i="1"/>
  <c r="P368" i="1" s="1"/>
  <c r="I402" i="1"/>
  <c r="P402" i="1" s="1"/>
  <c r="I434" i="1"/>
  <c r="P434" i="1" s="1"/>
  <c r="I487" i="1"/>
  <c r="P487" i="1" s="1"/>
  <c r="I499" i="1"/>
  <c r="P499" i="1" s="1"/>
  <c r="I6" i="1"/>
  <c r="P6" i="1" s="1"/>
  <c r="I13" i="1"/>
  <c r="P13" i="1" s="1"/>
  <c r="I14" i="1"/>
  <c r="P14" i="1" s="1"/>
  <c r="I15" i="1"/>
  <c r="P15" i="1" s="1"/>
  <c r="I19" i="1"/>
  <c r="P19" i="1" s="1"/>
  <c r="I21" i="1"/>
  <c r="P21" i="1" s="1"/>
  <c r="I23" i="1"/>
  <c r="P23" i="1" s="1"/>
  <c r="I34" i="1"/>
  <c r="P34" i="1" s="1"/>
  <c r="I107" i="1"/>
  <c r="P107" i="1" s="1"/>
  <c r="I187" i="1"/>
  <c r="P187" i="1" s="1"/>
  <c r="I188" i="1"/>
  <c r="P188" i="1" s="1"/>
  <c r="I209" i="1"/>
  <c r="P209" i="1" s="1"/>
  <c r="I215" i="1"/>
  <c r="P215" i="1" s="1"/>
  <c r="I224" i="1"/>
  <c r="P224" i="1" s="1"/>
  <c r="I240" i="1"/>
  <c r="P240" i="1" s="1"/>
  <c r="I281" i="1"/>
  <c r="P281" i="1" s="1"/>
  <c r="I344" i="1"/>
  <c r="P344" i="1" s="1"/>
  <c r="I347" i="1"/>
  <c r="P347" i="1" s="1"/>
  <c r="I351" i="1"/>
  <c r="P351" i="1" s="1"/>
  <c r="I366" i="1"/>
  <c r="P366" i="1" s="1"/>
  <c r="I394" i="1"/>
  <c r="P394" i="1" s="1"/>
  <c r="I422" i="1"/>
  <c r="P422" i="1" s="1"/>
  <c r="I470" i="1"/>
  <c r="P470" i="1" s="1"/>
  <c r="I480" i="1"/>
  <c r="P480" i="1" s="1"/>
  <c r="I498" i="1"/>
  <c r="P498" i="1" s="1"/>
  <c r="I56" i="1"/>
  <c r="P56" i="1" s="1"/>
  <c r="I103" i="1"/>
  <c r="P103" i="1" s="1"/>
  <c r="I159" i="1"/>
  <c r="P159" i="1" s="1"/>
  <c r="I186" i="1"/>
  <c r="P186" i="1" s="1"/>
  <c r="I228" i="1"/>
  <c r="P228" i="1" s="1"/>
  <c r="I233" i="1"/>
  <c r="P233" i="1" s="1"/>
  <c r="I238" i="1"/>
  <c r="P238" i="1" s="1"/>
  <c r="I255" i="1"/>
  <c r="P255" i="1" s="1"/>
  <c r="I293" i="1"/>
  <c r="P293" i="1" s="1"/>
  <c r="I294" i="1"/>
  <c r="P294" i="1" s="1"/>
  <c r="I303" i="1"/>
  <c r="P303" i="1" s="1"/>
  <c r="I306" i="1"/>
  <c r="P306" i="1" s="1"/>
  <c r="I318" i="1"/>
  <c r="P318" i="1" s="1"/>
  <c r="I320" i="1"/>
  <c r="P320" i="1" s="1"/>
  <c r="I339" i="1"/>
  <c r="P339" i="1" s="1"/>
  <c r="I360" i="1"/>
  <c r="P360" i="1" s="1"/>
  <c r="I393" i="1"/>
  <c r="P393" i="1" s="1"/>
  <c r="I397" i="1"/>
  <c r="P397" i="1" s="1"/>
  <c r="I406" i="1"/>
  <c r="P406" i="1" s="1"/>
  <c r="I421" i="1"/>
  <c r="P421" i="1" s="1"/>
  <c r="I431" i="1"/>
  <c r="P431" i="1" s="1"/>
  <c r="I449" i="1"/>
  <c r="P449" i="1" s="1"/>
  <c r="I464" i="1"/>
  <c r="P464" i="1" s="1"/>
  <c r="I467" i="1"/>
  <c r="P467" i="1" s="1"/>
  <c r="I495" i="1"/>
  <c r="P495" i="1" s="1"/>
  <c r="I9" i="1"/>
  <c r="P9" i="1" s="1"/>
  <c r="I18" i="1"/>
  <c r="P18" i="1" s="1"/>
  <c r="I30" i="1"/>
  <c r="P30" i="1" s="1"/>
  <c r="I36" i="1"/>
  <c r="P36" i="1" s="1"/>
  <c r="I51" i="1"/>
  <c r="P51" i="1" s="1"/>
  <c r="I68" i="1"/>
  <c r="P68" i="1" s="1"/>
  <c r="I77" i="1"/>
  <c r="P77" i="1" s="1"/>
  <c r="I80" i="1"/>
  <c r="P80" i="1" s="1"/>
  <c r="I101" i="1"/>
  <c r="P101" i="1" s="1"/>
  <c r="I116" i="1"/>
  <c r="P116" i="1" s="1"/>
  <c r="I149" i="1"/>
  <c r="P149" i="1" s="1"/>
  <c r="I164" i="1"/>
  <c r="P164" i="1" s="1"/>
  <c r="I286" i="1"/>
  <c r="P286" i="1" s="1"/>
  <c r="I298" i="1"/>
  <c r="P298" i="1" s="1"/>
  <c r="I325" i="1"/>
  <c r="P325" i="1" s="1"/>
  <c r="I329" i="1"/>
  <c r="P329" i="1" s="1"/>
  <c r="I426" i="1"/>
  <c r="P426" i="1" s="1"/>
  <c r="I38" i="1"/>
  <c r="P38" i="1" s="1"/>
  <c r="I47" i="1"/>
  <c r="P47" i="1" s="1"/>
  <c r="I48" i="1"/>
  <c r="P48" i="1" s="1"/>
  <c r="I52" i="1"/>
  <c r="P52" i="1" s="1"/>
  <c r="I75" i="1"/>
  <c r="P75" i="1" s="1"/>
  <c r="I90" i="1"/>
  <c r="P90" i="1" s="1"/>
  <c r="I95" i="1"/>
  <c r="P95" i="1" s="1"/>
  <c r="I130" i="1"/>
  <c r="P130" i="1" s="1"/>
  <c r="I132" i="1"/>
  <c r="P132" i="1" s="1"/>
  <c r="I142" i="1"/>
  <c r="P142" i="1" s="1"/>
  <c r="I145" i="1"/>
  <c r="P145" i="1" s="1"/>
  <c r="I147" i="1"/>
  <c r="P147" i="1" s="1"/>
  <c r="I167" i="1"/>
  <c r="P167" i="1" s="1"/>
  <c r="I169" i="1"/>
  <c r="P169" i="1" s="1"/>
  <c r="I231" i="1"/>
  <c r="P231" i="1" s="1"/>
  <c r="I352" i="1"/>
  <c r="P352" i="1" s="1"/>
  <c r="I395" i="1"/>
  <c r="P395" i="1" s="1"/>
  <c r="I450" i="1"/>
  <c r="P450" i="1" s="1"/>
  <c r="I457" i="1"/>
  <c r="P457" i="1" s="1"/>
  <c r="I477" i="1"/>
  <c r="P477" i="1" s="1"/>
  <c r="I479" i="1"/>
  <c r="P479" i="1" s="1"/>
  <c r="I131" i="1"/>
  <c r="P131" i="1" s="1"/>
  <c r="I153" i="1"/>
  <c r="P153" i="1" s="1"/>
  <c r="I225" i="1"/>
  <c r="P225" i="1" s="1"/>
  <c r="I264" i="1"/>
  <c r="P264" i="1" s="1"/>
  <c r="I288" i="1"/>
  <c r="P288" i="1" s="1"/>
  <c r="I357" i="1"/>
  <c r="P357" i="1" s="1"/>
  <c r="I382" i="1"/>
  <c r="P382" i="1" s="1"/>
  <c r="I388" i="1"/>
  <c r="P388" i="1" s="1"/>
  <c r="I453" i="1"/>
  <c r="P453" i="1" s="1"/>
  <c r="I462" i="1"/>
  <c r="P462" i="1" s="1"/>
  <c r="I471" i="1"/>
  <c r="P471" i="1" s="1"/>
  <c r="I491" i="1"/>
  <c r="P491" i="1" s="1"/>
  <c r="I492" i="1"/>
  <c r="P492" i="1" s="1"/>
  <c r="I497" i="1"/>
  <c r="P497" i="1" s="1"/>
  <c r="I24" i="1"/>
  <c r="P24" i="1" s="1"/>
  <c r="I49" i="1"/>
  <c r="P49" i="1" s="1"/>
  <c r="I58" i="1"/>
  <c r="P58" i="1" s="1"/>
  <c r="I65" i="1"/>
  <c r="P65" i="1" s="1"/>
  <c r="I74" i="1"/>
  <c r="P74" i="1" s="1"/>
  <c r="I83" i="1"/>
  <c r="P83" i="1" s="1"/>
  <c r="I114" i="1"/>
  <c r="P114" i="1" s="1"/>
  <c r="I166" i="1"/>
  <c r="P166" i="1" s="1"/>
  <c r="I175" i="1"/>
  <c r="P175" i="1" s="1"/>
  <c r="I183" i="1"/>
  <c r="P183" i="1" s="1"/>
  <c r="I185" i="1"/>
  <c r="P185" i="1" s="1"/>
  <c r="I198" i="1"/>
  <c r="P198" i="1" s="1"/>
  <c r="I206" i="1"/>
  <c r="P206" i="1" s="1"/>
  <c r="I212" i="1"/>
  <c r="P212" i="1" s="1"/>
  <c r="I229" i="1"/>
  <c r="P229" i="1" s="1"/>
  <c r="I230" i="1"/>
  <c r="P230" i="1" s="1"/>
  <c r="I250" i="1"/>
  <c r="P250" i="1" s="1"/>
  <c r="I277" i="1"/>
  <c r="P277" i="1" s="1"/>
  <c r="I291" i="1"/>
  <c r="P291" i="1" s="1"/>
  <c r="I302" i="1"/>
  <c r="P302" i="1" s="1"/>
  <c r="I317" i="1"/>
  <c r="P317" i="1" s="1"/>
  <c r="I343" i="1"/>
  <c r="P343" i="1" s="1"/>
  <c r="I363" i="1"/>
  <c r="P363" i="1" s="1"/>
  <c r="I379" i="1"/>
  <c r="P379" i="1" s="1"/>
  <c r="I408" i="1"/>
  <c r="P408" i="1" s="1"/>
  <c r="I417" i="1"/>
  <c r="P417" i="1" s="1"/>
  <c r="I424" i="1"/>
  <c r="P424" i="1" s="1"/>
  <c r="I447" i="1"/>
  <c r="P447" i="1" s="1"/>
  <c r="I460" i="1"/>
  <c r="P460" i="1" s="1"/>
  <c r="I472" i="1"/>
  <c r="P472" i="1" s="1"/>
  <c r="I483" i="1"/>
  <c r="P483" i="1" s="1"/>
  <c r="I494" i="1"/>
  <c r="P494" i="1" s="1"/>
  <c r="I500" i="1"/>
  <c r="P500" i="1" s="1"/>
  <c r="I5" i="1"/>
  <c r="P5" i="1" s="1"/>
  <c r="I59" i="1"/>
  <c r="P59" i="1" s="1"/>
  <c r="I119" i="1"/>
  <c r="P119" i="1" s="1"/>
  <c r="I296" i="1"/>
  <c r="P296" i="1" s="1"/>
  <c r="I372" i="1"/>
  <c r="P372" i="1" s="1"/>
  <c r="I392" i="1"/>
  <c r="P392" i="1" s="1"/>
  <c r="I405" i="1"/>
  <c r="P405" i="1" s="1"/>
  <c r="I461" i="1"/>
  <c r="P461" i="1" s="1"/>
  <c r="I481" i="1"/>
  <c r="P481" i="1" s="1"/>
  <c r="I46" i="1"/>
  <c r="P46" i="1" s="1"/>
  <c r="I69" i="1"/>
  <c r="P69" i="1" s="1"/>
  <c r="I102" i="1"/>
  <c r="P102" i="1" s="1"/>
  <c r="I113" i="1"/>
  <c r="P113" i="1" s="1"/>
  <c r="I150" i="1"/>
  <c r="P150" i="1" s="1"/>
  <c r="I163" i="1"/>
  <c r="P163" i="1" s="1"/>
  <c r="I171" i="1"/>
  <c r="P171" i="1" s="1"/>
  <c r="I178" i="1"/>
  <c r="P178" i="1" s="1"/>
  <c r="I179" i="1"/>
  <c r="P179" i="1" s="1"/>
  <c r="I194" i="1"/>
  <c r="P194" i="1" s="1"/>
  <c r="I195" i="1"/>
  <c r="P195" i="1" s="1"/>
  <c r="I208" i="1"/>
  <c r="P208" i="1" s="1"/>
  <c r="I218" i="1"/>
  <c r="P218" i="1" s="1"/>
  <c r="I295" i="1"/>
  <c r="P295" i="1" s="1"/>
  <c r="I319" i="1"/>
  <c r="P319" i="1" s="1"/>
  <c r="I345" i="1"/>
  <c r="P345" i="1" s="1"/>
  <c r="I353" i="1"/>
  <c r="P353" i="1" s="1"/>
  <c r="I355" i="1"/>
  <c r="P355" i="1" s="1"/>
  <c r="I373" i="1"/>
  <c r="P373" i="1" s="1"/>
  <c r="I377" i="1"/>
  <c r="P377" i="1" s="1"/>
  <c r="I384" i="1"/>
  <c r="P384" i="1" s="1"/>
  <c r="I387" i="1"/>
  <c r="P387" i="1" s="1"/>
  <c r="I410" i="1"/>
  <c r="P410" i="1" s="1"/>
  <c r="I427" i="1"/>
  <c r="P427" i="1" s="1"/>
  <c r="I440" i="1"/>
  <c r="P440" i="1" s="1"/>
  <c r="I445" i="1"/>
  <c r="P445" i="1" s="1"/>
  <c r="I473" i="1"/>
  <c r="P473" i="1" s="1"/>
  <c r="I3" i="1"/>
  <c r="P3" i="1" s="1"/>
  <c r="I4" i="1"/>
  <c r="P4" i="1" s="1"/>
  <c r="I11" i="1"/>
  <c r="P11" i="1" s="1"/>
  <c r="I17" i="1"/>
  <c r="P17" i="1" s="1"/>
  <c r="I54" i="1"/>
  <c r="P54" i="1" s="1"/>
  <c r="I76" i="1"/>
  <c r="P76" i="1" s="1"/>
  <c r="I78" i="1"/>
  <c r="P78" i="1" s="1"/>
  <c r="I82" i="1"/>
  <c r="P82" i="1" s="1"/>
  <c r="I93" i="1"/>
  <c r="P93" i="1" s="1"/>
  <c r="I94" i="1"/>
  <c r="P94" i="1" s="1"/>
  <c r="I96" i="1"/>
  <c r="P96" i="1" s="1"/>
  <c r="I106" i="1"/>
  <c r="P106" i="1" s="1"/>
  <c r="I109" i="1"/>
  <c r="P109" i="1" s="1"/>
  <c r="I112" i="1"/>
  <c r="P112" i="1" s="1"/>
  <c r="I121" i="1"/>
  <c r="P121" i="1" s="1"/>
  <c r="I136" i="1"/>
  <c r="P136" i="1" s="1"/>
  <c r="I137" i="1"/>
  <c r="P137" i="1" s="1"/>
  <c r="I138" i="1"/>
  <c r="P138" i="1" s="1"/>
  <c r="I139" i="1"/>
  <c r="P139" i="1" s="1"/>
  <c r="I148" i="1"/>
  <c r="P148" i="1" s="1"/>
  <c r="I156" i="1"/>
  <c r="P156" i="1" s="1"/>
  <c r="I158" i="1"/>
  <c r="P158" i="1" s="1"/>
  <c r="I168" i="1"/>
  <c r="P168" i="1" s="1"/>
  <c r="I173" i="1"/>
  <c r="P173" i="1" s="1"/>
  <c r="I177" i="1"/>
  <c r="P177" i="1" s="1"/>
  <c r="I181" i="1"/>
  <c r="P181" i="1" s="1"/>
  <c r="I182" i="1"/>
  <c r="P182" i="1" s="1"/>
  <c r="I189" i="1"/>
  <c r="P189" i="1" s="1"/>
  <c r="I192" i="1"/>
  <c r="P192" i="1" s="1"/>
  <c r="I193" i="1"/>
  <c r="P193" i="1" s="1"/>
  <c r="I196" i="1"/>
  <c r="P196" i="1" s="1"/>
  <c r="I201" i="1"/>
  <c r="P201" i="1" s="1"/>
  <c r="I202" i="1"/>
  <c r="P202" i="1" s="1"/>
  <c r="I203" i="1"/>
  <c r="P203" i="1" s="1"/>
  <c r="I204" i="1"/>
  <c r="P204" i="1" s="1"/>
  <c r="I205" i="1"/>
  <c r="P205" i="1" s="1"/>
  <c r="I207" i="1"/>
  <c r="P207" i="1" s="1"/>
  <c r="I222" i="1"/>
  <c r="P222" i="1" s="1"/>
  <c r="I227" i="1"/>
  <c r="P227" i="1" s="1"/>
  <c r="I235" i="1"/>
  <c r="P235" i="1" s="1"/>
  <c r="I242" i="1"/>
  <c r="P242" i="1" s="1"/>
  <c r="I245" i="1"/>
  <c r="P245" i="1" s="1"/>
  <c r="I253" i="1"/>
  <c r="P253" i="1" s="1"/>
  <c r="I259" i="1"/>
  <c r="P259" i="1" s="1"/>
  <c r="I261" i="1"/>
  <c r="P261" i="1" s="1"/>
  <c r="I266" i="1"/>
  <c r="P266" i="1" s="1"/>
  <c r="I269" i="1"/>
  <c r="P269" i="1" s="1"/>
  <c r="I272" i="1"/>
  <c r="P272" i="1" s="1"/>
  <c r="I274" i="1"/>
  <c r="P274" i="1" s="1"/>
  <c r="I279" i="1"/>
  <c r="P279" i="1" s="1"/>
  <c r="I284" i="1"/>
  <c r="P284" i="1" s="1"/>
  <c r="I297" i="1"/>
  <c r="P297" i="1" s="1"/>
  <c r="I299" i="1"/>
  <c r="P299" i="1" s="1"/>
  <c r="I307" i="1"/>
  <c r="P307" i="1" s="1"/>
  <c r="I308" i="1"/>
  <c r="P308" i="1" s="1"/>
  <c r="I311" i="1"/>
  <c r="P311" i="1" s="1"/>
  <c r="I312" i="1"/>
  <c r="P312" i="1" s="1"/>
  <c r="I313" i="1"/>
  <c r="P313" i="1" s="1"/>
  <c r="I321" i="1"/>
  <c r="P321" i="1" s="1"/>
  <c r="I322" i="1"/>
  <c r="P322" i="1" s="1"/>
  <c r="I333" i="1"/>
  <c r="P333" i="1" s="1"/>
  <c r="I334" i="1"/>
  <c r="P334" i="1" s="1"/>
  <c r="I346" i="1"/>
  <c r="P346" i="1" s="1"/>
  <c r="I348" i="1"/>
  <c r="P348" i="1" s="1"/>
  <c r="I350" i="1"/>
  <c r="P350" i="1" s="1"/>
  <c r="I364" i="1"/>
  <c r="P364" i="1" s="1"/>
  <c r="I365" i="1"/>
  <c r="P365" i="1" s="1"/>
  <c r="I376" i="1"/>
  <c r="P376" i="1" s="1"/>
  <c r="I385" i="1"/>
  <c r="P385" i="1" s="1"/>
  <c r="I386" i="1"/>
  <c r="P386" i="1" s="1"/>
  <c r="I391" i="1"/>
  <c r="P391" i="1" s="1"/>
  <c r="I398" i="1"/>
  <c r="P398" i="1" s="1"/>
  <c r="I401" i="1"/>
  <c r="P401" i="1" s="1"/>
  <c r="I407" i="1"/>
  <c r="P407" i="1" s="1"/>
  <c r="I414" i="1"/>
  <c r="P414" i="1" s="1"/>
  <c r="I415" i="1"/>
  <c r="P415" i="1" s="1"/>
  <c r="I416" i="1"/>
  <c r="P416" i="1" s="1"/>
  <c r="I418" i="1"/>
  <c r="P418" i="1" s="1"/>
  <c r="I430" i="1"/>
  <c r="P430" i="1" s="1"/>
  <c r="I437" i="1"/>
  <c r="P437" i="1" s="1"/>
  <c r="I442" i="1"/>
  <c r="P442" i="1" s="1"/>
  <c r="I444" i="1"/>
  <c r="P444" i="1" s="1"/>
  <c r="I446" i="1"/>
  <c r="P446" i="1" s="1"/>
  <c r="I466" i="1"/>
  <c r="P466" i="1" s="1"/>
  <c r="I468" i="1"/>
  <c r="P468" i="1" s="1"/>
  <c r="I469" i="1"/>
  <c r="P469" i="1" s="1"/>
  <c r="I476" i="1"/>
  <c r="P476" i="1" s="1"/>
  <c r="I26" i="1"/>
  <c r="P26" i="1" s="1"/>
  <c r="I27" i="1"/>
  <c r="P27" i="1" s="1"/>
  <c r="I64" i="1"/>
  <c r="P64" i="1" s="1"/>
  <c r="I72" i="1"/>
  <c r="P72" i="1" s="1"/>
  <c r="I86" i="1"/>
  <c r="P86" i="1" s="1"/>
  <c r="I92" i="1"/>
  <c r="P92" i="1" s="1"/>
  <c r="I98" i="1"/>
  <c r="P98" i="1" s="1"/>
  <c r="I105" i="1"/>
  <c r="P105" i="1" s="1"/>
  <c r="I120" i="1"/>
  <c r="P120" i="1" s="1"/>
  <c r="I127" i="1"/>
  <c r="P127" i="1" s="1"/>
  <c r="I141" i="1"/>
  <c r="P141" i="1" s="1"/>
  <c r="I144" i="1"/>
  <c r="P144" i="1" s="1"/>
  <c r="I154" i="1"/>
  <c r="P154" i="1" s="1"/>
  <c r="I199" i="1"/>
  <c r="P199" i="1" s="1"/>
  <c r="I241" i="1"/>
  <c r="P241" i="1" s="1"/>
  <c r="I252" i="1"/>
  <c r="P252" i="1" s="1"/>
  <c r="I262" i="1"/>
  <c r="P262" i="1" s="1"/>
  <c r="I275" i="1"/>
  <c r="P275" i="1" s="1"/>
  <c r="I309" i="1"/>
  <c r="P309" i="1" s="1"/>
  <c r="I332" i="1"/>
  <c r="P332" i="1" s="1"/>
  <c r="I412" i="1"/>
  <c r="P412" i="1" s="1"/>
  <c r="I432" i="1"/>
  <c r="P432" i="1" s="1"/>
  <c r="I441" i="1"/>
  <c r="P441" i="1" s="1"/>
  <c r="I482" i="1"/>
  <c r="P482" i="1" s="1"/>
  <c r="I485" i="1"/>
  <c r="P485" i="1" s="1"/>
  <c r="I488" i="1"/>
  <c r="P488" i="1" s="1"/>
  <c r="I496" i="1"/>
  <c r="P496" i="1" s="1"/>
  <c r="I28" i="1"/>
  <c r="P28" i="1" s="1"/>
  <c r="I40" i="1"/>
  <c r="P40" i="1" s="1"/>
  <c r="I44" i="1"/>
  <c r="P44" i="1" s="1"/>
  <c r="I45" i="1"/>
  <c r="P45" i="1" s="1"/>
  <c r="I70" i="1"/>
  <c r="P70" i="1" s="1"/>
  <c r="I79" i="1"/>
  <c r="P79" i="1" s="1"/>
  <c r="I81" i="1"/>
  <c r="P81" i="1" s="1"/>
  <c r="I146" i="1"/>
  <c r="P146" i="1" s="1"/>
  <c r="I152" i="1"/>
  <c r="P152" i="1" s="1"/>
  <c r="I155" i="1"/>
  <c r="P155" i="1" s="1"/>
  <c r="I162" i="1"/>
  <c r="P162" i="1" s="1"/>
  <c r="I172" i="1"/>
  <c r="P172" i="1" s="1"/>
  <c r="I210" i="1"/>
  <c r="P210" i="1" s="1"/>
  <c r="I217" i="1"/>
  <c r="P217" i="1" s="1"/>
  <c r="I219" i="1"/>
  <c r="P219" i="1" s="1"/>
  <c r="I226" i="1"/>
  <c r="P226" i="1" s="1"/>
  <c r="I234" i="1"/>
  <c r="P234" i="1" s="1"/>
  <c r="I236" i="1"/>
  <c r="P236" i="1" s="1"/>
  <c r="I254" i="1"/>
  <c r="P254" i="1" s="1"/>
  <c r="I270" i="1"/>
  <c r="P270" i="1" s="1"/>
  <c r="I314" i="1"/>
  <c r="P314" i="1" s="1"/>
  <c r="I315" i="1"/>
  <c r="P315" i="1" s="1"/>
  <c r="I327" i="1"/>
  <c r="P327" i="1" s="1"/>
  <c r="I328" i="1"/>
  <c r="P328" i="1" s="1"/>
  <c r="I335" i="1"/>
  <c r="P335" i="1" s="1"/>
  <c r="I374" i="1"/>
  <c r="P374" i="1" s="1"/>
  <c r="I419" i="1"/>
  <c r="P419" i="1" s="1"/>
  <c r="I429" i="1"/>
  <c r="P429" i="1" s="1"/>
  <c r="I459" i="1"/>
  <c r="P459" i="1" s="1"/>
  <c r="I493" i="1"/>
  <c r="P493" i="1" s="1"/>
  <c r="I39" i="1"/>
  <c r="P39" i="1" s="1"/>
  <c r="I170" i="1"/>
  <c r="P170" i="1" s="1"/>
  <c r="I197" i="1"/>
  <c r="P197" i="1" s="1"/>
  <c r="I248" i="1"/>
  <c r="P248" i="1" s="1"/>
  <c r="I258" i="1"/>
  <c r="P258" i="1" s="1"/>
  <c r="I273" i="1"/>
  <c r="P273" i="1" s="1"/>
  <c r="I283" i="1"/>
  <c r="P283" i="1" s="1"/>
  <c r="I381" i="1"/>
  <c r="P381" i="1" s="1"/>
  <c r="I396" i="1"/>
  <c r="P396" i="1" s="1"/>
  <c r="I413" i="1"/>
  <c r="P413" i="1" s="1"/>
  <c r="I29" i="1"/>
  <c r="P29" i="1" s="1"/>
  <c r="I31" i="1"/>
  <c r="P31" i="1" s="1"/>
  <c r="I41" i="1"/>
  <c r="P41" i="1" s="1"/>
  <c r="I42" i="1"/>
  <c r="P42" i="1" s="1"/>
  <c r="I61" i="1"/>
  <c r="P61" i="1" s="1"/>
  <c r="I62" i="1"/>
  <c r="P62" i="1" s="1"/>
  <c r="I85" i="1"/>
  <c r="P85" i="1" s="1"/>
  <c r="I128" i="1"/>
  <c r="P128" i="1" s="1"/>
  <c r="I223" i="1"/>
  <c r="P223" i="1" s="1"/>
  <c r="I257" i="1"/>
  <c r="P257" i="1" s="1"/>
  <c r="I260" i="1"/>
  <c r="P260" i="1" s="1"/>
  <c r="I323" i="1"/>
  <c r="P323" i="1" s="1"/>
  <c r="I324" i="1"/>
  <c r="P324" i="1" s="1"/>
  <c r="I349" i="1"/>
  <c r="P349" i="1" s="1"/>
  <c r="I356" i="1"/>
  <c r="P356" i="1" s="1"/>
  <c r="I420" i="1"/>
  <c r="P420" i="1" s="1"/>
  <c r="I452" i="1"/>
  <c r="P452" i="1" s="1"/>
  <c r="I463" i="1"/>
  <c r="P463" i="1" s="1"/>
  <c r="I486" i="1"/>
  <c r="P486" i="1" s="1"/>
  <c r="I12" i="1"/>
  <c r="P12" i="1" s="1"/>
  <c r="I32" i="1"/>
  <c r="P32" i="1" s="1"/>
  <c r="I50" i="1"/>
  <c r="P50" i="1" s="1"/>
  <c r="I53" i="1"/>
  <c r="P53" i="1" s="1"/>
  <c r="I57" i="1"/>
  <c r="P57" i="1" s="1"/>
  <c r="I100" i="1"/>
  <c r="P100" i="1" s="1"/>
  <c r="I110" i="1"/>
  <c r="P110" i="1" s="1"/>
  <c r="I118" i="1"/>
  <c r="P118" i="1" s="1"/>
  <c r="I129" i="1"/>
  <c r="P129" i="1" s="1"/>
  <c r="I134" i="1"/>
  <c r="P134" i="1" s="1"/>
  <c r="I176" i="1"/>
  <c r="P176" i="1" s="1"/>
  <c r="I191" i="1"/>
  <c r="P191" i="1" s="1"/>
  <c r="I214" i="1"/>
  <c r="P214" i="1" s="1"/>
  <c r="I244" i="1"/>
  <c r="P244" i="1" s="1"/>
  <c r="I247" i="1"/>
  <c r="P247" i="1" s="1"/>
  <c r="I263" i="1"/>
  <c r="P263" i="1" s="1"/>
  <c r="I267" i="1"/>
  <c r="P267" i="1" s="1"/>
  <c r="I276" i="1"/>
  <c r="P276" i="1" s="1"/>
  <c r="I278" i="1"/>
  <c r="P278" i="1" s="1"/>
  <c r="I331" i="1"/>
  <c r="P331" i="1" s="1"/>
  <c r="I361" i="1"/>
  <c r="P361" i="1" s="1"/>
  <c r="I378" i="1"/>
  <c r="P378" i="1" s="1"/>
  <c r="I383" i="1"/>
  <c r="P383" i="1" s="1"/>
  <c r="I404" i="1"/>
  <c r="P404" i="1" s="1"/>
  <c r="I428" i="1"/>
  <c r="P428" i="1" s="1"/>
  <c r="I435" i="1"/>
  <c r="P435" i="1" s="1"/>
  <c r="I489" i="1"/>
  <c r="P489" i="1" s="1"/>
  <c r="I2" i="1"/>
  <c r="P2" i="1" s="1"/>
  <c r="I8" i="1"/>
  <c r="P8" i="1" s="1"/>
  <c r="I37" i="1"/>
  <c r="P37" i="1" s="1"/>
  <c r="I66" i="1"/>
  <c r="P66" i="1" s="1"/>
  <c r="I84" i="1"/>
  <c r="P84" i="1" s="1"/>
  <c r="I115" i="1"/>
  <c r="P115" i="1" s="1"/>
  <c r="I122" i="1"/>
  <c r="P122" i="1" s="1"/>
  <c r="I133" i="1"/>
  <c r="P133" i="1" s="1"/>
  <c r="I143" i="1"/>
  <c r="P143" i="1" s="1"/>
  <c r="I180" i="1"/>
  <c r="P180" i="1" s="1"/>
  <c r="I249" i="1"/>
  <c r="P249" i="1" s="1"/>
  <c r="I359" i="1"/>
  <c r="P359" i="1" s="1"/>
  <c r="I67" i="1"/>
  <c r="P67" i="1" s="1"/>
  <c r="I135" i="1"/>
  <c r="P135" i="1" s="1"/>
  <c r="I216" i="1"/>
  <c r="P216" i="1" s="1"/>
  <c r="I280" i="1"/>
  <c r="P280" i="1" s="1"/>
  <c r="I287" i="1"/>
  <c r="P287" i="1" s="1"/>
  <c r="I300" i="1"/>
  <c r="P300" i="1" s="1"/>
  <c r="I310" i="1"/>
  <c r="P310" i="1" s="1"/>
  <c r="I336" i="1"/>
  <c r="P336" i="1" s="1"/>
  <c r="I340" i="1"/>
  <c r="P340" i="1" s="1"/>
  <c r="I342" i="1"/>
  <c r="P342" i="1" s="1"/>
  <c r="I367" i="1"/>
  <c r="P367" i="1" s="1"/>
  <c r="I371" i="1"/>
  <c r="P371" i="1" s="1"/>
  <c r="I390" i="1"/>
  <c r="P390" i="1" s="1"/>
  <c r="I423" i="1"/>
  <c r="P423" i="1" s="1"/>
  <c r="I443" i="1"/>
  <c r="P443" i="1" s="1"/>
  <c r="I465" i="1"/>
  <c r="P465" i="1" s="1"/>
  <c r="I111" i="1"/>
  <c r="P111" i="1" s="1"/>
  <c r="I160" i="1"/>
  <c r="P160" i="1" s="1"/>
  <c r="I174" i="1"/>
  <c r="P174" i="1" s="1"/>
  <c r="I190" i="1"/>
  <c r="P190" i="1" s="1"/>
  <c r="I213" i="1"/>
  <c r="P213" i="1" s="1"/>
  <c r="I246" i="1"/>
  <c r="P246" i="1" s="1"/>
  <c r="I305" i="1"/>
  <c r="P305" i="1" s="1"/>
  <c r="I316" i="1"/>
  <c r="P316" i="1" s="1"/>
  <c r="I326" i="1"/>
  <c r="P326" i="1" s="1"/>
  <c r="I330" i="1"/>
  <c r="P330" i="1" s="1"/>
  <c r="I354" i="1"/>
  <c r="P354" i="1" s="1"/>
  <c r="I358" i="1"/>
  <c r="P358" i="1" s="1"/>
  <c r="I369" i="1"/>
  <c r="P369" i="1" s="1"/>
  <c r="I370" i="1"/>
  <c r="P370" i="1" s="1"/>
  <c r="I375" i="1"/>
  <c r="P375" i="1" s="1"/>
  <c r="I400" i="1"/>
  <c r="P400" i="1" s="1"/>
  <c r="I411" i="1"/>
  <c r="P411" i="1" s="1"/>
  <c r="I433" i="1"/>
  <c r="P433" i="1" s="1"/>
  <c r="I436" i="1"/>
  <c r="P436" i="1" s="1"/>
  <c r="I438" i="1"/>
  <c r="P438" i="1" s="1"/>
  <c r="I451" i="1"/>
  <c r="P451" i="1" s="1"/>
  <c r="I458" i="1"/>
  <c r="P458" i="1" s="1"/>
  <c r="I478" i="1"/>
  <c r="P478" i="1" s="1"/>
  <c r="I484" i="1"/>
  <c r="P484" i="1" s="1"/>
  <c r="I501" i="1"/>
  <c r="P501" i="1" s="1"/>
  <c r="I7" i="1"/>
  <c r="P7" i="1" s="1"/>
  <c r="G10" i="1"/>
  <c r="O10" i="1" s="1"/>
  <c r="G20" i="1"/>
  <c r="O20" i="1" s="1"/>
  <c r="G22" i="1"/>
  <c r="O22" i="1" s="1"/>
  <c r="G25" i="1"/>
  <c r="O25" i="1" s="1"/>
  <c r="G33" i="1"/>
  <c r="O33" i="1" s="1"/>
  <c r="G35" i="1"/>
  <c r="O35" i="1" s="1"/>
  <c r="G55" i="1"/>
  <c r="O55" i="1" s="1"/>
  <c r="G71" i="1"/>
  <c r="O71" i="1" s="1"/>
  <c r="G73" i="1"/>
  <c r="O73" i="1" s="1"/>
  <c r="G88" i="1"/>
  <c r="O88" i="1" s="1"/>
  <c r="G125" i="1"/>
  <c r="O125" i="1" s="1"/>
  <c r="G184" i="1"/>
  <c r="O184" i="1" s="1"/>
  <c r="G239" i="1"/>
  <c r="O239" i="1" s="1"/>
  <c r="G256" i="1"/>
  <c r="O256" i="1" s="1"/>
  <c r="G265" i="1"/>
  <c r="O265" i="1" s="1"/>
  <c r="G285" i="1"/>
  <c r="O285" i="1" s="1"/>
  <c r="G289" i="1"/>
  <c r="O289" i="1" s="1"/>
  <c r="G380" i="1"/>
  <c r="O380" i="1" s="1"/>
  <c r="G389" i="1"/>
  <c r="O389" i="1" s="1"/>
  <c r="G409" i="1"/>
  <c r="O409" i="1" s="1"/>
  <c r="G454" i="1"/>
  <c r="O454" i="1" s="1"/>
  <c r="G475" i="1"/>
  <c r="O475" i="1" s="1"/>
  <c r="G43" i="1"/>
  <c r="O43" i="1" s="1"/>
  <c r="G60" i="1"/>
  <c r="O60" i="1" s="1"/>
  <c r="G63" i="1"/>
  <c r="O63" i="1" s="1"/>
  <c r="G87" i="1"/>
  <c r="O87" i="1" s="1"/>
  <c r="G89" i="1"/>
  <c r="O89" i="1" s="1"/>
  <c r="G91" i="1"/>
  <c r="O91" i="1" s="1"/>
  <c r="G117" i="1"/>
  <c r="O117" i="1" s="1"/>
  <c r="G126" i="1"/>
  <c r="O126" i="1" s="1"/>
  <c r="G151" i="1"/>
  <c r="O151" i="1" s="1"/>
  <c r="G157" i="1"/>
  <c r="O157" i="1" s="1"/>
  <c r="G161" i="1"/>
  <c r="O161" i="1" s="1"/>
  <c r="G165" i="1"/>
  <c r="O165" i="1" s="1"/>
  <c r="G200" i="1"/>
  <c r="O200" i="1" s="1"/>
  <c r="G211" i="1"/>
  <c r="O211" i="1" s="1"/>
  <c r="G220" i="1"/>
  <c r="O220" i="1" s="1"/>
  <c r="G221" i="1"/>
  <c r="O221" i="1" s="1"/>
  <c r="G237" i="1"/>
  <c r="O237" i="1" s="1"/>
  <c r="G243" i="1"/>
  <c r="O243" i="1" s="1"/>
  <c r="G251" i="1"/>
  <c r="O251" i="1" s="1"/>
  <c r="G268" i="1"/>
  <c r="O268" i="1" s="1"/>
  <c r="G282" i="1"/>
  <c r="O282" i="1" s="1"/>
  <c r="G290" i="1"/>
  <c r="O290" i="1" s="1"/>
  <c r="G304" i="1"/>
  <c r="O304" i="1" s="1"/>
  <c r="G338" i="1"/>
  <c r="O338" i="1" s="1"/>
  <c r="G341" i="1"/>
  <c r="O341" i="1" s="1"/>
  <c r="G362" i="1"/>
  <c r="O362" i="1" s="1"/>
  <c r="G399" i="1"/>
  <c r="O399" i="1" s="1"/>
  <c r="G403" i="1"/>
  <c r="O403" i="1" s="1"/>
  <c r="G425" i="1"/>
  <c r="O425" i="1" s="1"/>
  <c r="G439" i="1"/>
  <c r="O439" i="1" s="1"/>
  <c r="G448" i="1"/>
  <c r="O448" i="1" s="1"/>
  <c r="G455" i="1"/>
  <c r="O455" i="1" s="1"/>
  <c r="G456" i="1"/>
  <c r="O456" i="1" s="1"/>
  <c r="G474" i="1"/>
  <c r="O474" i="1" s="1"/>
  <c r="G490" i="1"/>
  <c r="O490" i="1" s="1"/>
  <c r="G16" i="1"/>
  <c r="O16" i="1" s="1"/>
  <c r="G97" i="1"/>
  <c r="O97" i="1" s="1"/>
  <c r="G99" i="1"/>
  <c r="O99" i="1" s="1"/>
  <c r="G104" i="1"/>
  <c r="O104" i="1" s="1"/>
  <c r="G108" i="1"/>
  <c r="O108" i="1" s="1"/>
  <c r="G123" i="1"/>
  <c r="O123" i="1" s="1"/>
  <c r="G124" i="1"/>
  <c r="O124" i="1" s="1"/>
  <c r="G140" i="1"/>
  <c r="O140" i="1" s="1"/>
  <c r="G232" i="1"/>
  <c r="O232" i="1" s="1"/>
  <c r="G271" i="1"/>
  <c r="O271" i="1" s="1"/>
  <c r="G292" i="1"/>
  <c r="O292" i="1" s="1"/>
  <c r="G301" i="1"/>
  <c r="O301" i="1" s="1"/>
  <c r="G337" i="1"/>
  <c r="O337" i="1" s="1"/>
  <c r="G368" i="1"/>
  <c r="O368" i="1" s="1"/>
  <c r="G402" i="1"/>
  <c r="O402" i="1" s="1"/>
  <c r="G434" i="1"/>
  <c r="O434" i="1" s="1"/>
  <c r="G487" i="1"/>
  <c r="O487" i="1" s="1"/>
  <c r="G499" i="1"/>
  <c r="O499" i="1" s="1"/>
  <c r="G6" i="1"/>
  <c r="O6" i="1" s="1"/>
  <c r="G13" i="1"/>
  <c r="O13" i="1" s="1"/>
  <c r="G14" i="1"/>
  <c r="O14" i="1" s="1"/>
  <c r="G15" i="1"/>
  <c r="O15" i="1" s="1"/>
  <c r="G19" i="1"/>
  <c r="O19" i="1" s="1"/>
  <c r="G21" i="1"/>
  <c r="O21" i="1" s="1"/>
  <c r="G23" i="1"/>
  <c r="O23" i="1" s="1"/>
  <c r="G34" i="1"/>
  <c r="O34" i="1" s="1"/>
  <c r="G107" i="1"/>
  <c r="O107" i="1" s="1"/>
  <c r="G187" i="1"/>
  <c r="O187" i="1" s="1"/>
  <c r="G188" i="1"/>
  <c r="O188" i="1" s="1"/>
  <c r="G209" i="1"/>
  <c r="O209" i="1" s="1"/>
  <c r="G215" i="1"/>
  <c r="O215" i="1" s="1"/>
  <c r="G224" i="1"/>
  <c r="O224" i="1" s="1"/>
  <c r="G240" i="1"/>
  <c r="O240" i="1" s="1"/>
  <c r="G281" i="1"/>
  <c r="O281" i="1" s="1"/>
  <c r="G344" i="1"/>
  <c r="O344" i="1" s="1"/>
  <c r="G347" i="1"/>
  <c r="O347" i="1" s="1"/>
  <c r="G351" i="1"/>
  <c r="O351" i="1" s="1"/>
  <c r="G366" i="1"/>
  <c r="O366" i="1" s="1"/>
  <c r="G394" i="1"/>
  <c r="O394" i="1" s="1"/>
  <c r="G422" i="1"/>
  <c r="O422" i="1" s="1"/>
  <c r="G470" i="1"/>
  <c r="O470" i="1" s="1"/>
  <c r="G480" i="1"/>
  <c r="O480" i="1" s="1"/>
  <c r="G498" i="1"/>
  <c r="O498" i="1" s="1"/>
  <c r="G56" i="1"/>
  <c r="O56" i="1" s="1"/>
  <c r="G103" i="1"/>
  <c r="O103" i="1" s="1"/>
  <c r="G159" i="1"/>
  <c r="O159" i="1" s="1"/>
  <c r="G186" i="1"/>
  <c r="O186" i="1" s="1"/>
  <c r="G228" i="1"/>
  <c r="O228" i="1" s="1"/>
  <c r="G233" i="1"/>
  <c r="O233" i="1" s="1"/>
  <c r="G238" i="1"/>
  <c r="O238" i="1" s="1"/>
  <c r="G255" i="1"/>
  <c r="O255" i="1" s="1"/>
  <c r="G293" i="1"/>
  <c r="O293" i="1" s="1"/>
  <c r="G294" i="1"/>
  <c r="O294" i="1" s="1"/>
  <c r="G303" i="1"/>
  <c r="O303" i="1" s="1"/>
  <c r="G306" i="1"/>
  <c r="O306" i="1" s="1"/>
  <c r="G318" i="1"/>
  <c r="O318" i="1" s="1"/>
  <c r="G320" i="1"/>
  <c r="O320" i="1" s="1"/>
  <c r="G339" i="1"/>
  <c r="O339" i="1" s="1"/>
  <c r="G360" i="1"/>
  <c r="O360" i="1" s="1"/>
  <c r="G393" i="1"/>
  <c r="O393" i="1" s="1"/>
  <c r="G397" i="1"/>
  <c r="O397" i="1" s="1"/>
  <c r="G406" i="1"/>
  <c r="O406" i="1" s="1"/>
  <c r="G421" i="1"/>
  <c r="O421" i="1" s="1"/>
  <c r="G431" i="1"/>
  <c r="O431" i="1" s="1"/>
  <c r="G449" i="1"/>
  <c r="O449" i="1" s="1"/>
  <c r="G464" i="1"/>
  <c r="O464" i="1" s="1"/>
  <c r="G467" i="1"/>
  <c r="O467" i="1" s="1"/>
  <c r="G495" i="1"/>
  <c r="O495" i="1" s="1"/>
  <c r="G9" i="1"/>
  <c r="O9" i="1" s="1"/>
  <c r="G18" i="1"/>
  <c r="O18" i="1" s="1"/>
  <c r="G30" i="1"/>
  <c r="O30" i="1" s="1"/>
  <c r="G36" i="1"/>
  <c r="O36" i="1" s="1"/>
  <c r="G51" i="1"/>
  <c r="O51" i="1" s="1"/>
  <c r="G68" i="1"/>
  <c r="O68" i="1" s="1"/>
  <c r="G77" i="1"/>
  <c r="O77" i="1" s="1"/>
  <c r="G80" i="1"/>
  <c r="O80" i="1" s="1"/>
  <c r="G101" i="1"/>
  <c r="O101" i="1" s="1"/>
  <c r="G116" i="1"/>
  <c r="O116" i="1" s="1"/>
  <c r="G149" i="1"/>
  <c r="O149" i="1" s="1"/>
  <c r="G164" i="1"/>
  <c r="O164" i="1" s="1"/>
  <c r="G286" i="1"/>
  <c r="O286" i="1" s="1"/>
  <c r="G298" i="1"/>
  <c r="O298" i="1" s="1"/>
  <c r="G325" i="1"/>
  <c r="O325" i="1" s="1"/>
  <c r="G329" i="1"/>
  <c r="O329" i="1" s="1"/>
  <c r="G426" i="1"/>
  <c r="O426" i="1" s="1"/>
  <c r="G38" i="1"/>
  <c r="O38" i="1" s="1"/>
  <c r="G47" i="1"/>
  <c r="O47" i="1" s="1"/>
  <c r="G48" i="1"/>
  <c r="O48" i="1" s="1"/>
  <c r="G52" i="1"/>
  <c r="O52" i="1" s="1"/>
  <c r="G75" i="1"/>
  <c r="O75" i="1" s="1"/>
  <c r="G90" i="1"/>
  <c r="O90" i="1" s="1"/>
  <c r="G95" i="1"/>
  <c r="O95" i="1" s="1"/>
  <c r="G130" i="1"/>
  <c r="O130" i="1" s="1"/>
  <c r="G132" i="1"/>
  <c r="O132" i="1" s="1"/>
  <c r="G142" i="1"/>
  <c r="O142" i="1" s="1"/>
  <c r="G145" i="1"/>
  <c r="O145" i="1" s="1"/>
  <c r="G147" i="1"/>
  <c r="O147" i="1" s="1"/>
  <c r="G167" i="1"/>
  <c r="O167" i="1" s="1"/>
  <c r="G169" i="1"/>
  <c r="O169" i="1" s="1"/>
  <c r="G231" i="1"/>
  <c r="O231" i="1" s="1"/>
  <c r="G352" i="1"/>
  <c r="O352" i="1" s="1"/>
  <c r="G395" i="1"/>
  <c r="O395" i="1" s="1"/>
  <c r="G450" i="1"/>
  <c r="O450" i="1" s="1"/>
  <c r="G457" i="1"/>
  <c r="O457" i="1" s="1"/>
  <c r="G477" i="1"/>
  <c r="O477" i="1" s="1"/>
  <c r="G479" i="1"/>
  <c r="O479" i="1" s="1"/>
  <c r="G131" i="1"/>
  <c r="O131" i="1" s="1"/>
  <c r="G153" i="1"/>
  <c r="O153" i="1" s="1"/>
  <c r="G225" i="1"/>
  <c r="O225" i="1" s="1"/>
  <c r="G264" i="1"/>
  <c r="O264" i="1" s="1"/>
  <c r="G288" i="1"/>
  <c r="O288" i="1" s="1"/>
  <c r="G357" i="1"/>
  <c r="O357" i="1" s="1"/>
  <c r="G382" i="1"/>
  <c r="O382" i="1" s="1"/>
  <c r="G388" i="1"/>
  <c r="O388" i="1" s="1"/>
  <c r="G453" i="1"/>
  <c r="O453" i="1" s="1"/>
  <c r="G462" i="1"/>
  <c r="O462" i="1" s="1"/>
  <c r="G471" i="1"/>
  <c r="O471" i="1" s="1"/>
  <c r="G491" i="1"/>
  <c r="O491" i="1" s="1"/>
  <c r="G492" i="1"/>
  <c r="O492" i="1" s="1"/>
  <c r="G497" i="1"/>
  <c r="O497" i="1" s="1"/>
  <c r="G24" i="1"/>
  <c r="O24" i="1" s="1"/>
  <c r="G49" i="1"/>
  <c r="O49" i="1" s="1"/>
  <c r="G58" i="1"/>
  <c r="O58" i="1" s="1"/>
  <c r="G65" i="1"/>
  <c r="O65" i="1" s="1"/>
  <c r="G74" i="1"/>
  <c r="O74" i="1" s="1"/>
  <c r="G83" i="1"/>
  <c r="O83" i="1" s="1"/>
  <c r="G114" i="1"/>
  <c r="O114" i="1" s="1"/>
  <c r="G166" i="1"/>
  <c r="O166" i="1" s="1"/>
  <c r="G175" i="1"/>
  <c r="O175" i="1" s="1"/>
  <c r="G183" i="1"/>
  <c r="O183" i="1" s="1"/>
  <c r="G185" i="1"/>
  <c r="O185" i="1" s="1"/>
  <c r="G198" i="1"/>
  <c r="O198" i="1" s="1"/>
  <c r="G206" i="1"/>
  <c r="O206" i="1" s="1"/>
  <c r="G212" i="1"/>
  <c r="O212" i="1" s="1"/>
  <c r="G229" i="1"/>
  <c r="O229" i="1" s="1"/>
  <c r="G230" i="1"/>
  <c r="O230" i="1" s="1"/>
  <c r="G250" i="1"/>
  <c r="O250" i="1" s="1"/>
  <c r="G277" i="1"/>
  <c r="O277" i="1" s="1"/>
  <c r="G291" i="1"/>
  <c r="O291" i="1" s="1"/>
  <c r="G302" i="1"/>
  <c r="O302" i="1" s="1"/>
  <c r="G317" i="1"/>
  <c r="O317" i="1" s="1"/>
  <c r="G343" i="1"/>
  <c r="O343" i="1" s="1"/>
  <c r="G363" i="1"/>
  <c r="O363" i="1" s="1"/>
  <c r="G379" i="1"/>
  <c r="O379" i="1" s="1"/>
  <c r="G408" i="1"/>
  <c r="O408" i="1" s="1"/>
  <c r="G417" i="1"/>
  <c r="O417" i="1" s="1"/>
  <c r="G424" i="1"/>
  <c r="O424" i="1" s="1"/>
  <c r="G447" i="1"/>
  <c r="O447" i="1" s="1"/>
  <c r="G460" i="1"/>
  <c r="O460" i="1" s="1"/>
  <c r="G472" i="1"/>
  <c r="O472" i="1" s="1"/>
  <c r="G483" i="1"/>
  <c r="O483" i="1" s="1"/>
  <c r="G494" i="1"/>
  <c r="O494" i="1" s="1"/>
  <c r="G500" i="1"/>
  <c r="O500" i="1" s="1"/>
  <c r="G5" i="1"/>
  <c r="O5" i="1" s="1"/>
  <c r="G59" i="1"/>
  <c r="O59" i="1" s="1"/>
  <c r="G119" i="1"/>
  <c r="O119" i="1" s="1"/>
  <c r="G296" i="1"/>
  <c r="O296" i="1" s="1"/>
  <c r="G372" i="1"/>
  <c r="O372" i="1" s="1"/>
  <c r="G392" i="1"/>
  <c r="O392" i="1" s="1"/>
  <c r="G405" i="1"/>
  <c r="O405" i="1" s="1"/>
  <c r="G461" i="1"/>
  <c r="O461" i="1" s="1"/>
  <c r="G481" i="1"/>
  <c r="O481" i="1" s="1"/>
  <c r="G46" i="1"/>
  <c r="O46" i="1" s="1"/>
  <c r="G69" i="1"/>
  <c r="O69" i="1" s="1"/>
  <c r="G102" i="1"/>
  <c r="O102" i="1" s="1"/>
  <c r="G113" i="1"/>
  <c r="O113" i="1" s="1"/>
  <c r="G150" i="1"/>
  <c r="O150" i="1" s="1"/>
  <c r="G163" i="1"/>
  <c r="O163" i="1" s="1"/>
  <c r="G171" i="1"/>
  <c r="O171" i="1" s="1"/>
  <c r="G178" i="1"/>
  <c r="O178" i="1" s="1"/>
  <c r="G179" i="1"/>
  <c r="O179" i="1" s="1"/>
  <c r="G194" i="1"/>
  <c r="O194" i="1" s="1"/>
  <c r="G195" i="1"/>
  <c r="O195" i="1" s="1"/>
  <c r="G208" i="1"/>
  <c r="O208" i="1" s="1"/>
  <c r="G218" i="1"/>
  <c r="O218" i="1" s="1"/>
  <c r="G295" i="1"/>
  <c r="O295" i="1" s="1"/>
  <c r="G319" i="1"/>
  <c r="O319" i="1" s="1"/>
  <c r="G345" i="1"/>
  <c r="O345" i="1" s="1"/>
  <c r="G353" i="1"/>
  <c r="O353" i="1" s="1"/>
  <c r="G355" i="1"/>
  <c r="O355" i="1" s="1"/>
  <c r="G373" i="1"/>
  <c r="O373" i="1" s="1"/>
  <c r="G377" i="1"/>
  <c r="O377" i="1" s="1"/>
  <c r="G384" i="1"/>
  <c r="O384" i="1" s="1"/>
  <c r="G387" i="1"/>
  <c r="O387" i="1" s="1"/>
  <c r="G410" i="1"/>
  <c r="O410" i="1" s="1"/>
  <c r="G427" i="1"/>
  <c r="O427" i="1" s="1"/>
  <c r="G440" i="1"/>
  <c r="O440" i="1" s="1"/>
  <c r="G445" i="1"/>
  <c r="O445" i="1" s="1"/>
  <c r="G473" i="1"/>
  <c r="O473" i="1" s="1"/>
  <c r="G3" i="1"/>
  <c r="O3" i="1" s="1"/>
  <c r="G4" i="1"/>
  <c r="O4" i="1" s="1"/>
  <c r="G11" i="1"/>
  <c r="O11" i="1" s="1"/>
  <c r="G17" i="1"/>
  <c r="O17" i="1" s="1"/>
  <c r="G54" i="1"/>
  <c r="O54" i="1" s="1"/>
  <c r="G76" i="1"/>
  <c r="O76" i="1" s="1"/>
  <c r="G78" i="1"/>
  <c r="O78" i="1" s="1"/>
  <c r="G82" i="1"/>
  <c r="O82" i="1" s="1"/>
  <c r="G93" i="1"/>
  <c r="O93" i="1" s="1"/>
  <c r="G94" i="1"/>
  <c r="O94" i="1" s="1"/>
  <c r="G96" i="1"/>
  <c r="O96" i="1" s="1"/>
  <c r="G106" i="1"/>
  <c r="O106" i="1" s="1"/>
  <c r="G109" i="1"/>
  <c r="O109" i="1" s="1"/>
  <c r="G112" i="1"/>
  <c r="O112" i="1" s="1"/>
  <c r="G121" i="1"/>
  <c r="O121" i="1" s="1"/>
  <c r="G136" i="1"/>
  <c r="O136" i="1" s="1"/>
  <c r="G137" i="1"/>
  <c r="O137" i="1" s="1"/>
  <c r="G138" i="1"/>
  <c r="O138" i="1" s="1"/>
  <c r="G139" i="1"/>
  <c r="O139" i="1" s="1"/>
  <c r="G148" i="1"/>
  <c r="O148" i="1" s="1"/>
  <c r="G156" i="1"/>
  <c r="O156" i="1" s="1"/>
  <c r="G158" i="1"/>
  <c r="O158" i="1" s="1"/>
  <c r="G168" i="1"/>
  <c r="O168" i="1" s="1"/>
  <c r="G173" i="1"/>
  <c r="O173" i="1" s="1"/>
  <c r="G177" i="1"/>
  <c r="O177" i="1" s="1"/>
  <c r="G181" i="1"/>
  <c r="O181" i="1" s="1"/>
  <c r="G182" i="1"/>
  <c r="O182" i="1" s="1"/>
  <c r="G189" i="1"/>
  <c r="O189" i="1" s="1"/>
  <c r="G192" i="1"/>
  <c r="O192" i="1" s="1"/>
  <c r="G193" i="1"/>
  <c r="O193" i="1" s="1"/>
  <c r="G196" i="1"/>
  <c r="O196" i="1" s="1"/>
  <c r="G201" i="1"/>
  <c r="O201" i="1" s="1"/>
  <c r="G202" i="1"/>
  <c r="O202" i="1" s="1"/>
  <c r="G203" i="1"/>
  <c r="O203" i="1" s="1"/>
  <c r="G204" i="1"/>
  <c r="O204" i="1" s="1"/>
  <c r="G205" i="1"/>
  <c r="O205" i="1" s="1"/>
  <c r="G207" i="1"/>
  <c r="O207" i="1" s="1"/>
  <c r="G222" i="1"/>
  <c r="O222" i="1" s="1"/>
  <c r="G227" i="1"/>
  <c r="O227" i="1" s="1"/>
  <c r="G235" i="1"/>
  <c r="O235" i="1" s="1"/>
  <c r="G242" i="1"/>
  <c r="O242" i="1" s="1"/>
  <c r="G245" i="1"/>
  <c r="O245" i="1" s="1"/>
  <c r="G253" i="1"/>
  <c r="O253" i="1" s="1"/>
  <c r="G259" i="1"/>
  <c r="O259" i="1" s="1"/>
  <c r="G261" i="1"/>
  <c r="O261" i="1" s="1"/>
  <c r="G266" i="1"/>
  <c r="O266" i="1" s="1"/>
  <c r="G269" i="1"/>
  <c r="O269" i="1" s="1"/>
  <c r="G272" i="1"/>
  <c r="O272" i="1" s="1"/>
  <c r="G274" i="1"/>
  <c r="O274" i="1" s="1"/>
  <c r="G279" i="1"/>
  <c r="O279" i="1" s="1"/>
  <c r="G284" i="1"/>
  <c r="O284" i="1" s="1"/>
  <c r="G297" i="1"/>
  <c r="O297" i="1" s="1"/>
  <c r="G299" i="1"/>
  <c r="O299" i="1" s="1"/>
  <c r="G307" i="1"/>
  <c r="O307" i="1" s="1"/>
  <c r="G308" i="1"/>
  <c r="O308" i="1" s="1"/>
  <c r="G311" i="1"/>
  <c r="O311" i="1" s="1"/>
  <c r="G312" i="1"/>
  <c r="O312" i="1" s="1"/>
  <c r="G313" i="1"/>
  <c r="O313" i="1" s="1"/>
  <c r="G321" i="1"/>
  <c r="O321" i="1" s="1"/>
  <c r="G322" i="1"/>
  <c r="O322" i="1" s="1"/>
  <c r="G333" i="1"/>
  <c r="O333" i="1" s="1"/>
  <c r="G334" i="1"/>
  <c r="O334" i="1" s="1"/>
  <c r="G346" i="1"/>
  <c r="O346" i="1" s="1"/>
  <c r="G348" i="1"/>
  <c r="O348" i="1" s="1"/>
  <c r="G350" i="1"/>
  <c r="O350" i="1" s="1"/>
  <c r="G364" i="1"/>
  <c r="O364" i="1" s="1"/>
  <c r="G365" i="1"/>
  <c r="O365" i="1" s="1"/>
  <c r="G376" i="1"/>
  <c r="O376" i="1" s="1"/>
  <c r="G385" i="1"/>
  <c r="O385" i="1" s="1"/>
  <c r="G386" i="1"/>
  <c r="O386" i="1" s="1"/>
  <c r="G391" i="1"/>
  <c r="O391" i="1" s="1"/>
  <c r="G398" i="1"/>
  <c r="O398" i="1" s="1"/>
  <c r="G401" i="1"/>
  <c r="O401" i="1" s="1"/>
  <c r="G407" i="1"/>
  <c r="O407" i="1" s="1"/>
  <c r="G414" i="1"/>
  <c r="O414" i="1" s="1"/>
  <c r="G415" i="1"/>
  <c r="O415" i="1" s="1"/>
  <c r="G416" i="1"/>
  <c r="O416" i="1" s="1"/>
  <c r="G418" i="1"/>
  <c r="O418" i="1" s="1"/>
  <c r="G430" i="1"/>
  <c r="O430" i="1" s="1"/>
  <c r="G437" i="1"/>
  <c r="O437" i="1" s="1"/>
  <c r="G442" i="1"/>
  <c r="O442" i="1" s="1"/>
  <c r="G444" i="1"/>
  <c r="O444" i="1" s="1"/>
  <c r="G446" i="1"/>
  <c r="O446" i="1" s="1"/>
  <c r="G466" i="1"/>
  <c r="O466" i="1" s="1"/>
  <c r="G468" i="1"/>
  <c r="O468" i="1" s="1"/>
  <c r="G469" i="1"/>
  <c r="O469" i="1" s="1"/>
  <c r="G476" i="1"/>
  <c r="O476" i="1" s="1"/>
  <c r="G26" i="1"/>
  <c r="O26" i="1" s="1"/>
  <c r="G27" i="1"/>
  <c r="O27" i="1" s="1"/>
  <c r="G64" i="1"/>
  <c r="O64" i="1" s="1"/>
  <c r="G72" i="1"/>
  <c r="O72" i="1" s="1"/>
  <c r="G86" i="1"/>
  <c r="O86" i="1" s="1"/>
  <c r="G92" i="1"/>
  <c r="O92" i="1" s="1"/>
  <c r="G98" i="1"/>
  <c r="O98" i="1" s="1"/>
  <c r="G105" i="1"/>
  <c r="O105" i="1" s="1"/>
  <c r="G120" i="1"/>
  <c r="O120" i="1" s="1"/>
  <c r="G127" i="1"/>
  <c r="O127" i="1" s="1"/>
  <c r="G141" i="1"/>
  <c r="O141" i="1" s="1"/>
  <c r="G144" i="1"/>
  <c r="O144" i="1" s="1"/>
  <c r="G154" i="1"/>
  <c r="O154" i="1" s="1"/>
  <c r="G199" i="1"/>
  <c r="O199" i="1" s="1"/>
  <c r="G241" i="1"/>
  <c r="O241" i="1" s="1"/>
  <c r="G252" i="1"/>
  <c r="O252" i="1" s="1"/>
  <c r="G262" i="1"/>
  <c r="O262" i="1" s="1"/>
  <c r="G275" i="1"/>
  <c r="O275" i="1" s="1"/>
  <c r="G309" i="1"/>
  <c r="O309" i="1" s="1"/>
  <c r="G332" i="1"/>
  <c r="O332" i="1" s="1"/>
  <c r="G412" i="1"/>
  <c r="O412" i="1" s="1"/>
  <c r="G432" i="1"/>
  <c r="O432" i="1" s="1"/>
  <c r="G441" i="1"/>
  <c r="O441" i="1" s="1"/>
  <c r="G482" i="1"/>
  <c r="O482" i="1" s="1"/>
  <c r="G485" i="1"/>
  <c r="O485" i="1" s="1"/>
  <c r="G488" i="1"/>
  <c r="O488" i="1" s="1"/>
  <c r="G496" i="1"/>
  <c r="O496" i="1" s="1"/>
  <c r="G28" i="1"/>
  <c r="O28" i="1" s="1"/>
  <c r="G40" i="1"/>
  <c r="O40" i="1" s="1"/>
  <c r="G44" i="1"/>
  <c r="O44" i="1" s="1"/>
  <c r="G45" i="1"/>
  <c r="O45" i="1" s="1"/>
  <c r="G70" i="1"/>
  <c r="O70" i="1" s="1"/>
  <c r="G79" i="1"/>
  <c r="O79" i="1" s="1"/>
  <c r="G81" i="1"/>
  <c r="O81" i="1" s="1"/>
  <c r="G146" i="1"/>
  <c r="O146" i="1" s="1"/>
  <c r="G152" i="1"/>
  <c r="O152" i="1" s="1"/>
  <c r="G155" i="1"/>
  <c r="O155" i="1" s="1"/>
  <c r="G162" i="1"/>
  <c r="O162" i="1" s="1"/>
  <c r="G172" i="1"/>
  <c r="O172" i="1" s="1"/>
  <c r="G210" i="1"/>
  <c r="O210" i="1" s="1"/>
  <c r="G217" i="1"/>
  <c r="O217" i="1" s="1"/>
  <c r="G219" i="1"/>
  <c r="O219" i="1" s="1"/>
  <c r="G226" i="1"/>
  <c r="O226" i="1" s="1"/>
  <c r="G234" i="1"/>
  <c r="O234" i="1" s="1"/>
  <c r="G236" i="1"/>
  <c r="O236" i="1" s="1"/>
  <c r="G254" i="1"/>
  <c r="O254" i="1" s="1"/>
  <c r="G270" i="1"/>
  <c r="O270" i="1" s="1"/>
  <c r="G314" i="1"/>
  <c r="O314" i="1" s="1"/>
  <c r="G315" i="1"/>
  <c r="O315" i="1" s="1"/>
  <c r="G327" i="1"/>
  <c r="O327" i="1" s="1"/>
  <c r="G328" i="1"/>
  <c r="O328" i="1" s="1"/>
  <c r="G335" i="1"/>
  <c r="O335" i="1" s="1"/>
  <c r="G374" i="1"/>
  <c r="O374" i="1" s="1"/>
  <c r="G419" i="1"/>
  <c r="O419" i="1" s="1"/>
  <c r="G429" i="1"/>
  <c r="O429" i="1" s="1"/>
  <c r="G459" i="1"/>
  <c r="O459" i="1" s="1"/>
  <c r="G493" i="1"/>
  <c r="O493" i="1" s="1"/>
  <c r="G39" i="1"/>
  <c r="O39" i="1" s="1"/>
  <c r="G170" i="1"/>
  <c r="O170" i="1" s="1"/>
  <c r="G197" i="1"/>
  <c r="O197" i="1" s="1"/>
  <c r="G248" i="1"/>
  <c r="O248" i="1" s="1"/>
  <c r="G258" i="1"/>
  <c r="O258" i="1" s="1"/>
  <c r="G273" i="1"/>
  <c r="O273" i="1" s="1"/>
  <c r="G283" i="1"/>
  <c r="O283" i="1" s="1"/>
  <c r="G381" i="1"/>
  <c r="O381" i="1" s="1"/>
  <c r="G396" i="1"/>
  <c r="O396" i="1" s="1"/>
  <c r="G413" i="1"/>
  <c r="O413" i="1" s="1"/>
  <c r="G29" i="1"/>
  <c r="O29" i="1" s="1"/>
  <c r="G31" i="1"/>
  <c r="O31" i="1" s="1"/>
  <c r="G41" i="1"/>
  <c r="O41" i="1" s="1"/>
  <c r="G42" i="1"/>
  <c r="O42" i="1" s="1"/>
  <c r="G61" i="1"/>
  <c r="O61" i="1" s="1"/>
  <c r="G62" i="1"/>
  <c r="O62" i="1" s="1"/>
  <c r="G85" i="1"/>
  <c r="O85" i="1" s="1"/>
  <c r="G128" i="1"/>
  <c r="O128" i="1" s="1"/>
  <c r="G223" i="1"/>
  <c r="O223" i="1" s="1"/>
  <c r="G257" i="1"/>
  <c r="O257" i="1" s="1"/>
  <c r="G260" i="1"/>
  <c r="O260" i="1" s="1"/>
  <c r="G323" i="1"/>
  <c r="O323" i="1" s="1"/>
  <c r="G324" i="1"/>
  <c r="O324" i="1" s="1"/>
  <c r="G349" i="1"/>
  <c r="O349" i="1" s="1"/>
  <c r="G356" i="1"/>
  <c r="O356" i="1" s="1"/>
  <c r="G420" i="1"/>
  <c r="O420" i="1" s="1"/>
  <c r="G452" i="1"/>
  <c r="O452" i="1" s="1"/>
  <c r="G463" i="1"/>
  <c r="O463" i="1" s="1"/>
  <c r="G486" i="1"/>
  <c r="O486" i="1" s="1"/>
  <c r="G12" i="1"/>
  <c r="O12" i="1" s="1"/>
  <c r="G32" i="1"/>
  <c r="O32" i="1" s="1"/>
  <c r="G50" i="1"/>
  <c r="O50" i="1" s="1"/>
  <c r="G53" i="1"/>
  <c r="O53" i="1" s="1"/>
  <c r="G57" i="1"/>
  <c r="O57" i="1" s="1"/>
  <c r="G100" i="1"/>
  <c r="O100" i="1" s="1"/>
  <c r="G110" i="1"/>
  <c r="O110" i="1" s="1"/>
  <c r="G118" i="1"/>
  <c r="O118" i="1" s="1"/>
  <c r="G129" i="1"/>
  <c r="O129" i="1" s="1"/>
  <c r="G134" i="1"/>
  <c r="O134" i="1" s="1"/>
  <c r="G176" i="1"/>
  <c r="O176" i="1" s="1"/>
  <c r="G191" i="1"/>
  <c r="O191" i="1" s="1"/>
  <c r="G214" i="1"/>
  <c r="O214" i="1" s="1"/>
  <c r="G244" i="1"/>
  <c r="O244" i="1" s="1"/>
  <c r="G247" i="1"/>
  <c r="O247" i="1" s="1"/>
  <c r="G263" i="1"/>
  <c r="O263" i="1" s="1"/>
  <c r="G267" i="1"/>
  <c r="O267" i="1" s="1"/>
  <c r="G276" i="1"/>
  <c r="O276" i="1" s="1"/>
  <c r="G278" i="1"/>
  <c r="O278" i="1" s="1"/>
  <c r="G331" i="1"/>
  <c r="O331" i="1" s="1"/>
  <c r="G361" i="1"/>
  <c r="O361" i="1" s="1"/>
  <c r="G378" i="1"/>
  <c r="O378" i="1" s="1"/>
  <c r="G383" i="1"/>
  <c r="O383" i="1" s="1"/>
  <c r="G404" i="1"/>
  <c r="O404" i="1" s="1"/>
  <c r="G428" i="1"/>
  <c r="O428" i="1" s="1"/>
  <c r="G435" i="1"/>
  <c r="O435" i="1" s="1"/>
  <c r="G489" i="1"/>
  <c r="O489" i="1" s="1"/>
  <c r="G2" i="1"/>
  <c r="O2" i="1" s="1"/>
  <c r="G8" i="1"/>
  <c r="O8" i="1" s="1"/>
  <c r="G37" i="1"/>
  <c r="O37" i="1" s="1"/>
  <c r="G66" i="1"/>
  <c r="O66" i="1" s="1"/>
  <c r="G84" i="1"/>
  <c r="O84" i="1" s="1"/>
  <c r="G115" i="1"/>
  <c r="O115" i="1" s="1"/>
  <c r="G122" i="1"/>
  <c r="O122" i="1" s="1"/>
  <c r="G133" i="1"/>
  <c r="O133" i="1" s="1"/>
  <c r="G143" i="1"/>
  <c r="O143" i="1" s="1"/>
  <c r="G180" i="1"/>
  <c r="O180" i="1" s="1"/>
  <c r="G249" i="1"/>
  <c r="O249" i="1" s="1"/>
  <c r="G359" i="1"/>
  <c r="O359" i="1" s="1"/>
  <c r="G67" i="1"/>
  <c r="O67" i="1" s="1"/>
  <c r="G135" i="1"/>
  <c r="O135" i="1" s="1"/>
  <c r="G216" i="1"/>
  <c r="O216" i="1" s="1"/>
  <c r="G280" i="1"/>
  <c r="O280" i="1" s="1"/>
  <c r="G287" i="1"/>
  <c r="O287" i="1" s="1"/>
  <c r="G300" i="1"/>
  <c r="O300" i="1" s="1"/>
  <c r="G310" i="1"/>
  <c r="O310" i="1" s="1"/>
  <c r="G336" i="1"/>
  <c r="O336" i="1" s="1"/>
  <c r="G340" i="1"/>
  <c r="O340" i="1" s="1"/>
  <c r="G342" i="1"/>
  <c r="O342" i="1" s="1"/>
  <c r="G367" i="1"/>
  <c r="O367" i="1" s="1"/>
  <c r="G371" i="1"/>
  <c r="O371" i="1" s="1"/>
  <c r="G390" i="1"/>
  <c r="O390" i="1" s="1"/>
  <c r="G423" i="1"/>
  <c r="O423" i="1" s="1"/>
  <c r="G443" i="1"/>
  <c r="O443" i="1" s="1"/>
  <c r="G465" i="1"/>
  <c r="O465" i="1" s="1"/>
  <c r="G111" i="1"/>
  <c r="O111" i="1" s="1"/>
  <c r="G160" i="1"/>
  <c r="O160" i="1" s="1"/>
  <c r="G174" i="1"/>
  <c r="O174" i="1" s="1"/>
  <c r="G190" i="1"/>
  <c r="O190" i="1" s="1"/>
  <c r="G213" i="1"/>
  <c r="O213" i="1" s="1"/>
  <c r="G246" i="1"/>
  <c r="O246" i="1" s="1"/>
  <c r="G305" i="1"/>
  <c r="O305" i="1" s="1"/>
  <c r="G316" i="1"/>
  <c r="O316" i="1" s="1"/>
  <c r="G326" i="1"/>
  <c r="O326" i="1" s="1"/>
  <c r="G330" i="1"/>
  <c r="O330" i="1" s="1"/>
  <c r="G354" i="1"/>
  <c r="O354" i="1" s="1"/>
  <c r="G358" i="1"/>
  <c r="O358" i="1" s="1"/>
  <c r="G369" i="1"/>
  <c r="O369" i="1" s="1"/>
  <c r="G370" i="1"/>
  <c r="O370" i="1" s="1"/>
  <c r="G375" i="1"/>
  <c r="O375" i="1" s="1"/>
  <c r="G400" i="1"/>
  <c r="O400" i="1" s="1"/>
  <c r="G411" i="1"/>
  <c r="O411" i="1" s="1"/>
  <c r="G433" i="1"/>
  <c r="O433" i="1" s="1"/>
  <c r="G436" i="1"/>
  <c r="O436" i="1" s="1"/>
  <c r="G438" i="1"/>
  <c r="O438" i="1" s="1"/>
  <c r="G451" i="1"/>
  <c r="O451" i="1" s="1"/>
  <c r="G458" i="1"/>
  <c r="O458" i="1" s="1"/>
  <c r="G478" i="1"/>
  <c r="O478" i="1" s="1"/>
  <c r="G484" i="1"/>
  <c r="O484" i="1" s="1"/>
  <c r="G501" i="1"/>
  <c r="O501" i="1" s="1"/>
  <c r="G7" i="1"/>
  <c r="O7" i="1" s="1"/>
</calcChain>
</file>

<file path=xl/sharedStrings.xml><?xml version="1.0" encoding="utf-8"?>
<sst xmlns="http://schemas.openxmlformats.org/spreadsheetml/2006/main" count="2234" uniqueCount="1498">
  <si>
    <t>Rank</t>
  </si>
  <si>
    <t>Points</t>
  </si>
  <si>
    <t>Company name</t>
  </si>
  <si>
    <t>Revenues</t>
  </si>
  <si>
    <t>Income</t>
  </si>
  <si>
    <t>Name/title main IS person</t>
  </si>
  <si>
    <t>IS budget</t>
  </si>
  <si>
    <t>Obs</t>
  </si>
  <si>
    <t xml:space="preserve"> AT&amp;T</t>
  </si>
  <si>
    <t xml:space="preserve">Ron Ponder SVP &amp; CIO </t>
  </si>
  <si>
    <t xml:space="preserve"> General Electric Co.</t>
  </si>
  <si>
    <t xml:space="preserve">Edward Skiko VP </t>
  </si>
  <si>
    <t xml:space="preserve"> General Motors Corp.</t>
  </si>
  <si>
    <t xml:space="preserve">Vincent Barabba GM </t>
  </si>
  <si>
    <t xml:space="preserve"> Columbia HCA Healthcare Corp.</t>
  </si>
  <si>
    <t xml:space="preserve">Rick Chapman SVP/IS </t>
  </si>
  <si>
    <t xml:space="preserve"> IBM</t>
  </si>
  <si>
    <t xml:space="preserve">Jerry Prothro CIO </t>
  </si>
  <si>
    <t xml:space="preserve"> Lockheed Martin Corp.</t>
  </si>
  <si>
    <t xml:space="preserve">Joe Cleveland Pres./IT </t>
  </si>
  <si>
    <t xml:space="preserve"> GTE Corp.</t>
  </si>
  <si>
    <t xml:space="preserve">Richard Surprise Dir./IS </t>
  </si>
  <si>
    <t xml:space="preserve"> ITT Corp.</t>
  </si>
  <si>
    <t xml:space="preserve">David Starr CIO </t>
  </si>
  <si>
    <t xml:space="preserve"> AlliedSignal Inc.</t>
  </si>
  <si>
    <t xml:space="preserve">Decentralized </t>
  </si>
  <si>
    <t xml:space="preserve"> Ford Motor Co.</t>
  </si>
  <si>
    <t xml:space="preserve">William Powers Exec. Dir./IS &amp; CIO </t>
  </si>
  <si>
    <t xml:space="preserve"> Kmart Corp.</t>
  </si>
  <si>
    <t xml:space="preserve">Virginia Rago SVP &amp; CIO </t>
  </si>
  <si>
    <t xml:space="preserve"> Digital Equipment Corp.</t>
  </si>
  <si>
    <t xml:space="preserve">Richard Fishburn CIO </t>
  </si>
  <si>
    <t xml:space="preserve"> EDS Corp.</t>
  </si>
  <si>
    <t xml:space="preserve">Todd Carlson CIO </t>
  </si>
  <si>
    <t xml:space="preserve"> Hewlett-Packard Co.</t>
  </si>
  <si>
    <t xml:space="preserve">Robert R. Walker Dir./Corp. IS </t>
  </si>
  <si>
    <t xml:space="preserve"> E. I. du Pont de Nemours &amp; Co.</t>
  </si>
  <si>
    <t xml:space="preserve">Cinda Hallman VP </t>
  </si>
  <si>
    <t xml:space="preserve"> Westinghouse Electric Corp.</t>
  </si>
  <si>
    <t xml:space="preserve">Mark Jankowski Dir./Corp. IS </t>
  </si>
  <si>
    <t xml:space="preserve"> Emerson Electric Co.</t>
  </si>
  <si>
    <t xml:space="preserve">S. Lamar Rieves VP/IS </t>
  </si>
  <si>
    <t xml:space="preserve"> Automatic Data Processing Inc.</t>
  </si>
  <si>
    <t xml:space="preserve">Renato Crocetti Corp. VP &amp; IT </t>
  </si>
  <si>
    <t xml:space="preserve"> Rockwell International Corp.</t>
  </si>
  <si>
    <t xml:space="preserve">Jim Sutter CIO </t>
  </si>
  <si>
    <t xml:space="preserve"> Xerox Corp.</t>
  </si>
  <si>
    <t xml:space="preserve">Patricia Wallington Corp. VP &amp; CIO </t>
  </si>
  <si>
    <t xml:space="preserve"> United Technologies Corp.</t>
  </si>
  <si>
    <t xml:space="preserve">Ulf Andersen Dir/IS </t>
  </si>
  <si>
    <t xml:space="preserve"> Unisys Corp.</t>
  </si>
  <si>
    <t xml:space="preserve">Herman Rincon VP/IT </t>
  </si>
  <si>
    <t xml:space="preserve"> Philip Morris Cos. Inc.</t>
  </si>
  <si>
    <t xml:space="preserve">J.A. Harris Dir. </t>
  </si>
  <si>
    <t xml:space="preserve"> Textron Inc.</t>
  </si>
  <si>
    <t xml:space="preserve">W.B. Gauld VP &amp; CIO </t>
  </si>
  <si>
    <t xml:space="preserve"> Gannett Co. Inc.</t>
  </si>
  <si>
    <t xml:space="preserve">Mark Morneau VP/Sys. </t>
  </si>
  <si>
    <t xml:space="preserve"> Dun &amp; Bradstreet Corp.</t>
  </si>
  <si>
    <t xml:space="preserve">Michael Field VP/IS </t>
  </si>
  <si>
    <t xml:space="preserve"> International Paper Co.</t>
  </si>
  <si>
    <t xml:space="preserve">Carl W. Moore SVP &amp; CIO </t>
  </si>
  <si>
    <t xml:space="preserve"> Ernst &amp; Young</t>
  </si>
  <si>
    <t xml:space="preserve">#N/A </t>
  </si>
  <si>
    <t xml:space="preserve">Gene Cort Dir./IS </t>
  </si>
  <si>
    <t xml:space="preserve"> Raytheon Co.</t>
  </si>
  <si>
    <t xml:space="preserve">Joseph McNamara Dir./IT </t>
  </si>
  <si>
    <t xml:space="preserve"> Deloitte &amp; Touche</t>
  </si>
  <si>
    <t xml:space="preserve">Doug Greenleaf CIO </t>
  </si>
  <si>
    <t xml:space="preserve"> Sears Roebuck and Co.</t>
  </si>
  <si>
    <t xml:space="preserve">Joseph Smialowski CIO &amp; VP </t>
  </si>
  <si>
    <t xml:space="preserve"> Eaton Corp.</t>
  </si>
  <si>
    <t xml:space="preserve">Derek Mumford VP/ IT </t>
  </si>
  <si>
    <t xml:space="preserve"> Computer Sciences Corp.</t>
  </si>
  <si>
    <t xml:space="preserve">Denis Crane VP </t>
  </si>
  <si>
    <t xml:space="preserve"> TRW Inc.</t>
  </si>
  <si>
    <t xml:space="preserve">Peter Janak CIO </t>
  </si>
  <si>
    <t xml:space="preserve"> Cooper Industries Inc.</t>
  </si>
  <si>
    <t xml:space="preserve">Walter DuPont VP/IS </t>
  </si>
  <si>
    <t xml:space="preserve"> Sprint Corp.</t>
  </si>
  <si>
    <t xml:space="preserve">George Fuciu SVP/IS </t>
  </si>
  <si>
    <t xml:space="preserve"> Chevron Corp.</t>
  </si>
  <si>
    <t xml:space="preserve">William Houghton Pres./IT </t>
  </si>
  <si>
    <t xml:space="preserve"> American Home Products Corp.</t>
  </si>
  <si>
    <t xml:space="preserve">Edward A. Schefer VP/MIS </t>
  </si>
  <si>
    <t xml:space="preserve"> Weyerhaeuser Co.</t>
  </si>
  <si>
    <t xml:space="preserve">Cliff Hall VP/IT </t>
  </si>
  <si>
    <t xml:space="preserve"> Arthur Andersen &amp; Co.</t>
  </si>
  <si>
    <t xml:space="preserve">#N/A #N/A </t>
  </si>
  <si>
    <t xml:space="preserve"> KPMG Peat Marwick</t>
  </si>
  <si>
    <t xml:space="preserve">Allan Frank CTO </t>
  </si>
  <si>
    <t xml:space="preserve"> Banc One Corp.</t>
  </si>
  <si>
    <t xml:space="preserve">Richard Headly CEO/IT </t>
  </si>
  <si>
    <t xml:space="preserve"> Georgia Pacific Corp.</t>
  </si>
  <si>
    <t xml:space="preserve">Carl Wilson VP/Info. Resources </t>
  </si>
  <si>
    <t xml:space="preserve"> Hanson Industries</t>
  </si>
  <si>
    <t xml:space="preserve">Eric Spess Dir. </t>
  </si>
  <si>
    <t xml:space="preserve"> Prudential Insurance Co.</t>
  </si>
  <si>
    <t xml:space="preserve">Bruce Goodman Pres./Bus. Sys. </t>
  </si>
  <si>
    <t xml:space="preserve"> Texaco Inc.</t>
  </si>
  <si>
    <t xml:space="preserve">D.A. Bennett GM/IT </t>
  </si>
  <si>
    <t xml:space="preserve"> Amoco Corp.</t>
  </si>
  <si>
    <t xml:space="preserve">Carl C. Williams VP </t>
  </si>
  <si>
    <t xml:space="preserve"> ConAgra Inc.</t>
  </si>
  <si>
    <t xml:space="preserve">Joseph Petty VP/MIS </t>
  </si>
  <si>
    <t xml:space="preserve"> Penn Traffic Co.</t>
  </si>
  <si>
    <t xml:space="preserve">John Guzzo VP/MIS </t>
  </si>
  <si>
    <t xml:space="preserve"> Honeywell Inc.</t>
  </si>
  <si>
    <t xml:space="preserve">William Sanders VP/IS </t>
  </si>
  <si>
    <t xml:space="preserve"> Tenneco Inc.</t>
  </si>
  <si>
    <t xml:space="preserve">John W. Evans Dir./IS </t>
  </si>
  <si>
    <t xml:space="preserve"> Food Lion Inc.</t>
  </si>
  <si>
    <t xml:space="preserve">Ed Benner VP/IS </t>
  </si>
  <si>
    <t xml:space="preserve"> Ingersoll Rand Co.</t>
  </si>
  <si>
    <t xml:space="preserve">George Tabback Dir./Corp. IT </t>
  </si>
  <si>
    <t xml:space="preserve"> Teledyne Inc.</t>
  </si>
  <si>
    <t xml:space="preserve">James Stockwell Dir./IS </t>
  </si>
  <si>
    <t xml:space="preserve"> Johnson &amp; Johnson</t>
  </si>
  <si>
    <t xml:space="preserve">Ed Parrish VP/IT </t>
  </si>
  <si>
    <t xml:space="preserve"> Toys R Us Inc.</t>
  </si>
  <si>
    <t xml:space="preserve">Dennis Healey SVP/MIS </t>
  </si>
  <si>
    <t xml:space="preserve"> PepsiCo Inc.</t>
  </si>
  <si>
    <t xml:space="preserve">Allan B. Deering VP/MIS </t>
  </si>
  <si>
    <t xml:space="preserve"> Tenet Healthcare Corp.</t>
  </si>
  <si>
    <t xml:space="preserve">Steve Brown CIO </t>
  </si>
  <si>
    <t xml:space="preserve"> Citicorp</t>
  </si>
  <si>
    <t xml:space="preserve">Colin Crook CIO </t>
  </si>
  <si>
    <t xml:space="preserve"> Price Waterhouse LLP</t>
  </si>
  <si>
    <t xml:space="preserve">Mark Lutchen CIO </t>
  </si>
  <si>
    <t xml:space="preserve"> Coopers &amp; Lybrand</t>
  </si>
  <si>
    <t xml:space="preserve">Ellen Knapp Vice Chair./ Tech. </t>
  </si>
  <si>
    <t xml:space="preserve"> BankAmerica Corp.</t>
  </si>
  <si>
    <t xml:space="preserve">Martin Stein CIO </t>
  </si>
  <si>
    <t xml:space="preserve"> Time Warner Inc.</t>
  </si>
  <si>
    <t xml:space="preserve">Carl Urbana Dir. </t>
  </si>
  <si>
    <t xml:space="preserve"> Anheuser-Busch Cos. Inc.</t>
  </si>
  <si>
    <t xml:space="preserve">Bob Mason VP </t>
  </si>
  <si>
    <t xml:space="preserve"> MCI Communications Corp.</t>
  </si>
  <si>
    <t xml:space="preserve">John Gerdelman CIO </t>
  </si>
  <si>
    <t xml:space="preserve"> United Parcel Service</t>
  </si>
  <si>
    <t xml:space="preserve">Frank Erbrick SVP/IS &amp; CIO </t>
  </si>
  <si>
    <t xml:space="preserve"> Motorola Inc.</t>
  </si>
  <si>
    <t xml:space="preserve"> Cigna Corp.</t>
  </si>
  <si>
    <t xml:space="preserve">J. Raymond Caron CIO </t>
  </si>
  <si>
    <t xml:space="preserve"> Aluminum Co. of America</t>
  </si>
  <si>
    <t xml:space="preserve">Robert Cosgrove Dir. </t>
  </si>
  <si>
    <t xml:space="preserve"> Dana Corp.</t>
  </si>
  <si>
    <t xml:space="preserve">Stephen Hoffman Dir. </t>
  </si>
  <si>
    <t xml:space="preserve"> Viacom International Inc.</t>
  </si>
  <si>
    <t xml:space="preserve">Henry Leingang SVP &amp; CIO </t>
  </si>
  <si>
    <t xml:space="preserve"> Northrop Grumman Corp.</t>
  </si>
  <si>
    <t xml:space="preserve">Herbert W. Anderson VP &amp; GM/IS </t>
  </si>
  <si>
    <t xml:space="preserve"> Sysco Corp.</t>
  </si>
  <si>
    <t xml:space="preserve">John B. Smart Jr. VP/IS </t>
  </si>
  <si>
    <t xml:space="preserve"> WMX Technologies Inc.</t>
  </si>
  <si>
    <t xml:space="preserve">Bert Young VP/IS </t>
  </si>
  <si>
    <t xml:space="preserve"> Corning Inc.</t>
  </si>
  <si>
    <t xml:space="preserve"> Loral Corp.</t>
  </si>
  <si>
    <t xml:space="preserve">Rocco Ruggiero CIO </t>
  </si>
  <si>
    <t xml:space="preserve"> Science Applications Int'l</t>
  </si>
  <si>
    <t xml:space="preserve">James M. Swartz CIO &amp; Corp. VP </t>
  </si>
  <si>
    <t xml:space="preserve"> USX Corp.</t>
  </si>
  <si>
    <t xml:space="preserve">Raymond Rezac GM/Comp. Svs. </t>
  </si>
  <si>
    <t xml:space="preserve"> Johnson Controls Inc.</t>
  </si>
  <si>
    <t xml:space="preserve">Steve Finnerty Corp. Dir/IS </t>
  </si>
  <si>
    <t xml:space="preserve"> James River Corp.</t>
  </si>
  <si>
    <t xml:space="preserve">Anthony Pizzelanti VP/IT </t>
  </si>
  <si>
    <t xml:space="preserve"> Chrysler Corp.</t>
  </si>
  <si>
    <t xml:space="preserve">Susan Unger Exec. Dir./IS </t>
  </si>
  <si>
    <t xml:space="preserve"> Sara Lee Corp.</t>
  </si>
  <si>
    <t xml:space="preserve">Jerry Matsumoto Exec. Dir./IS </t>
  </si>
  <si>
    <t xml:space="preserve"> Bell Atlantic Corp.</t>
  </si>
  <si>
    <t xml:space="preserve">Ralph Szygenda VP/IS &amp; CIO </t>
  </si>
  <si>
    <t xml:space="preserve"> Marmon Group Inc.</t>
  </si>
  <si>
    <t xml:space="preserve">J.P. Pursell Dir./IT </t>
  </si>
  <si>
    <t xml:space="preserve"> Cox Enterprises Inc.</t>
  </si>
  <si>
    <t xml:space="preserve"> NationsBank Corp.</t>
  </si>
  <si>
    <t xml:space="preserve">Loretta Harvey CIO </t>
  </si>
  <si>
    <t xml:space="preserve"> Boeing Co.</t>
  </si>
  <si>
    <t xml:space="preserve">John Warner Pres./Comp. Svs. </t>
  </si>
  <si>
    <t xml:space="preserve"> Chemical Banking Corp.</t>
  </si>
  <si>
    <t xml:space="preserve">Denis J. O'Leary EVP &amp; CIO </t>
  </si>
  <si>
    <t xml:space="preserve"> Mobil Corp.</t>
  </si>
  <si>
    <t xml:space="preserve">A.J. Galante VP &amp; CIO </t>
  </si>
  <si>
    <t xml:space="preserve"> Fleet Financial Group</t>
  </si>
  <si>
    <t xml:space="preserve">David Shepard CEO &amp; Chair./Fleet Svs. </t>
  </si>
  <si>
    <t xml:space="preserve"> Times Mirror Co.</t>
  </si>
  <si>
    <t xml:space="preserve">Thanos Triant VP/IS &amp; CIO </t>
  </si>
  <si>
    <t xml:space="preserve"> Parker Hannifin Corp.</t>
  </si>
  <si>
    <t xml:space="preserve">Paul L. Carson VP/IS </t>
  </si>
  <si>
    <t xml:space="preserve"> Cargill Inc.</t>
  </si>
  <si>
    <t xml:space="preserve">Lloyd Taylor Corp. VP/IT </t>
  </si>
  <si>
    <t xml:space="preserve"> Exxon Corp.</t>
  </si>
  <si>
    <t xml:space="preserve">Pat Hewlett Mgr./Comp. Svs. </t>
  </si>
  <si>
    <t xml:space="preserve"> Minnesota Mining and Mfg. Co.</t>
  </si>
  <si>
    <t xml:space="preserve">David Drew VP/IT </t>
  </si>
  <si>
    <t xml:space="preserve"> Monsanto Co.</t>
  </si>
  <si>
    <t xml:space="preserve">James H. Nisbet Corp. VP/MIS &amp; CIO </t>
  </si>
  <si>
    <t xml:space="preserve"> Capital Cities/ABC Inc.</t>
  </si>
  <si>
    <t xml:space="preserve">Richard Schell VP/IS </t>
  </si>
  <si>
    <t xml:space="preserve"> Dow Chemical Co.</t>
  </si>
  <si>
    <t xml:space="preserve">Dave Kepler Dir./Global IS </t>
  </si>
  <si>
    <t xml:space="preserve"> JC Penney Co. Inc.</t>
  </si>
  <si>
    <t xml:space="preserve">David Evans VP/IS </t>
  </si>
  <si>
    <t xml:space="preserve"> Litton Industries Inc.</t>
  </si>
  <si>
    <t xml:space="preserve">Robert Casanova Dir./Corp. IS </t>
  </si>
  <si>
    <t xml:space="preserve"> Marsh &amp; McLennan Cos. Inc.</t>
  </si>
  <si>
    <t xml:space="preserve">Mitch Blaser CIO </t>
  </si>
  <si>
    <t xml:space="preserve"> Black &amp; Decker Corp.</t>
  </si>
  <si>
    <t xml:space="preserve">Don Lee VP/IS </t>
  </si>
  <si>
    <t xml:space="preserve"> WR Grace &amp; Co.</t>
  </si>
  <si>
    <t xml:space="preserve">Steven Karins VP &amp; CIO </t>
  </si>
  <si>
    <t xml:space="preserve"> RR Donnelley &amp; Sons Co.</t>
  </si>
  <si>
    <t xml:space="preserve">Alan Guibord VP/IT </t>
  </si>
  <si>
    <t xml:space="preserve"> PPG Industries Inc.</t>
  </si>
  <si>
    <t xml:space="preserve">David Smith VP/IT </t>
  </si>
  <si>
    <t xml:space="preserve"> Tandem Computers Inc.</t>
  </si>
  <si>
    <t xml:space="preserve">Donald Sallan VP/IS </t>
  </si>
  <si>
    <t xml:space="preserve"> FMC Corp.</t>
  </si>
  <si>
    <t xml:space="preserve">Dan Irwin VP/IS </t>
  </si>
  <si>
    <t xml:space="preserve"> Hoechst Celanese Corp.</t>
  </si>
  <si>
    <t xml:space="preserve">Edward Phares VP/IS </t>
  </si>
  <si>
    <t xml:space="preserve"> Aramark Group Inc.</t>
  </si>
  <si>
    <t xml:space="preserve">Gary Paler CIO </t>
  </si>
  <si>
    <t xml:space="preserve"> Southern Co.</t>
  </si>
  <si>
    <t xml:space="preserve">Thomas Fanning SVP &amp; CIO </t>
  </si>
  <si>
    <t xml:space="preserve"> Deere &amp; Co.</t>
  </si>
  <si>
    <t xml:space="preserve">John Gault VP/IS </t>
  </si>
  <si>
    <t xml:space="preserve"> Metropolitan Life Insurance Co.</t>
  </si>
  <si>
    <t xml:space="preserve"> Nabisco Inc.</t>
  </si>
  <si>
    <t xml:space="preserve">Joseph W. Farrelly VP &amp; CIO </t>
  </si>
  <si>
    <t xml:space="preserve"> Ameritech Corp.</t>
  </si>
  <si>
    <t xml:space="preserve">Cliff Dodd CIO </t>
  </si>
  <si>
    <t xml:space="preserve"> Harris Corp.</t>
  </si>
  <si>
    <t xml:space="preserve">Herb McCauley VP/Info. Mgt. </t>
  </si>
  <si>
    <t xml:space="preserve"> Key Corp.</t>
  </si>
  <si>
    <t xml:space="preserve">Allen Gula SVP </t>
  </si>
  <si>
    <t xml:space="preserve"> Kroger Co.</t>
  </si>
  <si>
    <t xml:space="preserve">Michael Herschel SVP/IS </t>
  </si>
  <si>
    <t xml:space="preserve"> Baxter International Inc.</t>
  </si>
  <si>
    <t xml:space="preserve">Kathy White CIO </t>
  </si>
  <si>
    <t xml:space="preserve"> Knight-Ridder Inc.</t>
  </si>
  <si>
    <t xml:space="preserve">Steve Dempsey Dir./IS </t>
  </si>
  <si>
    <t xml:space="preserve"> Masco Corp.</t>
  </si>
  <si>
    <t xml:space="preserve">Doug Witham Dir./IS </t>
  </si>
  <si>
    <t xml:space="preserve"> SBC Communications Inc.</t>
  </si>
  <si>
    <t xml:space="preserve">Charels Roess VP/IS </t>
  </si>
  <si>
    <t xml:space="preserve"> Miles Inc.</t>
  </si>
  <si>
    <t xml:space="preserve"> #N/A </t>
  </si>
  <si>
    <t xml:space="preserve">John Tremse SVP/IS </t>
  </si>
  <si>
    <t xml:space="preserve"> BASF Corp.</t>
  </si>
  <si>
    <t xml:space="preserve">Gerald de Beuckelaer SVP/IS </t>
  </si>
  <si>
    <t xml:space="preserve"> McDonnell Douglas Corp.</t>
  </si>
  <si>
    <t xml:space="preserve">L. Joseph Deney VP/IS </t>
  </si>
  <si>
    <t xml:space="preserve"> Norwest Corp.</t>
  </si>
  <si>
    <t xml:space="preserve">Brian Phillips EVP/Tech. Svs. </t>
  </si>
  <si>
    <t xml:space="preserve"> McGraw-Hill Inc.</t>
  </si>
  <si>
    <t xml:space="preserve">John Kerin SVP/Info. Mgt. </t>
  </si>
  <si>
    <t xml:space="preserve"> H Group Holding Inc.</t>
  </si>
  <si>
    <t xml:space="preserve"> Albertson's Inc.</t>
  </si>
  <si>
    <t xml:space="preserve">Patrick S. Steele SVP </t>
  </si>
  <si>
    <t xml:space="preserve"> Shell Oil Co.</t>
  </si>
  <si>
    <t xml:space="preserve"> Merrill Lynch &amp; Co. Inc.</t>
  </si>
  <si>
    <t xml:space="preserve">Edward Goldberg EVP </t>
  </si>
  <si>
    <t xml:space="preserve"> Atlantic Richfield Co.</t>
  </si>
  <si>
    <t xml:space="preserve"> BellSouth Corp.</t>
  </si>
  <si>
    <t xml:space="preserve">Robert Haley CIO </t>
  </si>
  <si>
    <t xml:space="preserve"> Meijer Inc.</t>
  </si>
  <si>
    <t xml:space="preserve">Richard Dubnick Dir./Sys. </t>
  </si>
  <si>
    <t xml:space="preserve"> Pittston Co.</t>
  </si>
  <si>
    <t xml:space="preserve">John Conte Supvr./IT </t>
  </si>
  <si>
    <t xml:space="preserve"> Alco Standard Corp.</t>
  </si>
  <si>
    <t xml:space="preserve">Elizabeth Barrett Dir./MIS </t>
  </si>
  <si>
    <t xml:space="preserve"> Eastman Kodak Co.</t>
  </si>
  <si>
    <t xml:space="preserve">John Chiazza CIO </t>
  </si>
  <si>
    <t xml:space="preserve"> Stone Container Corp.</t>
  </si>
  <si>
    <t xml:space="preserve">Joseph P. Thompson VP/MIS </t>
  </si>
  <si>
    <t xml:space="preserve"> Genuine Parts Co.</t>
  </si>
  <si>
    <t xml:space="preserve">Thomas Braswell VP/IS </t>
  </si>
  <si>
    <t xml:space="preserve"> Olin Corp.</t>
  </si>
  <si>
    <t xml:space="preserve">Chuck Wyand VP </t>
  </si>
  <si>
    <t xml:space="preserve"> Advance Publications Inc.</t>
  </si>
  <si>
    <t xml:space="preserve"> Unocal Corp.</t>
  </si>
  <si>
    <t xml:space="preserve">Paul R. Jones III GM/IS </t>
  </si>
  <si>
    <t xml:space="preserve"> Alltel Corp.</t>
  </si>
  <si>
    <t xml:space="preserve">Drew Kelso Pres./IS </t>
  </si>
  <si>
    <t xml:space="preserve"> Dow Jones &amp; Co. Inc.</t>
  </si>
  <si>
    <t xml:space="preserve">Charles Russell VP/Tech. </t>
  </si>
  <si>
    <t xml:space="preserve"> Halliburton Co.</t>
  </si>
  <si>
    <t xml:space="preserve">Ron Jones Dir./IT </t>
  </si>
  <si>
    <t xml:space="preserve"> Temple-Inland Inc.</t>
  </si>
  <si>
    <t xml:space="preserve">Jimmy Byrd VP/IS </t>
  </si>
  <si>
    <t xml:space="preserve"> Occidental Petroleum Corp.</t>
  </si>
  <si>
    <t xml:space="preserve">Steve Huffman Corp. Dir./IS </t>
  </si>
  <si>
    <t xml:space="preserve"> BF Goodrich Co.</t>
  </si>
  <si>
    <t xml:space="preserve"> Texas Instruments Inc.</t>
  </si>
  <si>
    <t xml:space="preserve">Jodie Ray CIO </t>
  </si>
  <si>
    <t xml:space="preserve"> State Farm Life Insurance Co.</t>
  </si>
  <si>
    <t xml:space="preserve">Norman Vincent VP/DP </t>
  </si>
  <si>
    <t xml:space="preserve"> First Interstate Bancorp</t>
  </si>
  <si>
    <t xml:space="preserve">Dan Eitington CIO </t>
  </si>
  <si>
    <t xml:space="preserve"> Mead Corp.</t>
  </si>
  <si>
    <t xml:space="preserve">John Langenbahn VP/Info. Resources </t>
  </si>
  <si>
    <t xml:space="preserve"> American Express Co.</t>
  </si>
  <si>
    <t xml:space="preserve">Allan Loren EVP &amp; CIO </t>
  </si>
  <si>
    <t xml:space="preserve"> Hearst Corp.</t>
  </si>
  <si>
    <t xml:space="preserve">Dan Coleman VP </t>
  </si>
  <si>
    <t xml:space="preserve"> Union Camp Corp.</t>
  </si>
  <si>
    <t xml:space="preserve">Susan M. Arseven VP &amp; CIO </t>
  </si>
  <si>
    <t xml:space="preserve"> Cummins Engine Co. Inc.</t>
  </si>
  <si>
    <t xml:space="preserve">Jack Sparks Dir./Info. Mgt. </t>
  </si>
  <si>
    <t xml:space="preserve"> First Chicago Corp.</t>
  </si>
  <si>
    <t xml:space="preserve">Donald Hollis EVP/IS </t>
  </si>
  <si>
    <t xml:space="preserve"> Caterpillar Inc.</t>
  </si>
  <si>
    <t xml:space="preserve">Robert Hinds CIO </t>
  </si>
  <si>
    <t xml:space="preserve"> American Brands Inc.</t>
  </si>
  <si>
    <t xml:space="preserve">Leonard Hendrickson Dir./IS </t>
  </si>
  <si>
    <t xml:space="preserve"> Pacific Gas &amp; Electric Co.</t>
  </si>
  <si>
    <t xml:space="preserve">John C. Danielson VP </t>
  </si>
  <si>
    <t xml:space="preserve"> Barnett Banks Inc.</t>
  </si>
  <si>
    <t xml:space="preserve">Jonathan Palmer CIO </t>
  </si>
  <si>
    <t xml:space="preserve"> Jefferson Smurfit Corp.</t>
  </si>
  <si>
    <t xml:space="preserve">Charles A. Bell VP/IS </t>
  </si>
  <si>
    <t xml:space="preserve"> American International Group</t>
  </si>
  <si>
    <t xml:space="preserve">L.W. English SVP/Admin. &amp; MIS </t>
  </si>
  <si>
    <t xml:space="preserve"> EG&amp;G Inc.</t>
  </si>
  <si>
    <t xml:space="preserve">Robert Currin Dir./IT </t>
  </si>
  <si>
    <t xml:space="preserve"> SunTrust Bank Inc.</t>
  </si>
  <si>
    <t xml:space="preserve">Robert Horton EVP </t>
  </si>
  <si>
    <t xml:space="preserve"> Fleming Cos. Inc.</t>
  </si>
  <si>
    <t xml:space="preserve">Robert Dolan CIO </t>
  </si>
  <si>
    <t xml:space="preserve"> Ashland Inc.</t>
  </si>
  <si>
    <t xml:space="preserve">William R. Sawran CIO </t>
  </si>
  <si>
    <t xml:space="preserve"> Goodyear Tire &amp; Rubber Co.</t>
  </si>
  <si>
    <t xml:space="preserve">Joseph Gilchrist Asst. Compt./IS </t>
  </si>
  <si>
    <t xml:space="preserve"> Coastal Corp.</t>
  </si>
  <si>
    <t xml:space="preserve">Michael B. Lobin VP/IT </t>
  </si>
  <si>
    <t xml:space="preserve"> Bristol-Myers Squibb Co.</t>
  </si>
  <si>
    <t xml:space="preserve">Jack M. Cooper VP/IS </t>
  </si>
  <si>
    <t xml:space="preserve"> Travelers Inc.</t>
  </si>
  <si>
    <t xml:space="preserve"> Alumax Inc.</t>
  </si>
  <si>
    <t xml:space="preserve">Brent Phillips Mgr./IS </t>
  </si>
  <si>
    <t xml:space="preserve"> Dover Corp.</t>
  </si>
  <si>
    <t xml:space="preserve"> Commonwealth Energy Systems</t>
  </si>
  <si>
    <t xml:space="preserve">Robert Manning SVP </t>
  </si>
  <si>
    <t xml:space="preserve"> Ogden Corp.</t>
  </si>
  <si>
    <t xml:space="preserve">Mark Storey Dir./MIS </t>
  </si>
  <si>
    <t xml:space="preserve"> Publix Super Markets Inc.</t>
  </si>
  <si>
    <t xml:space="preserve">Danny Risner VP/IS </t>
  </si>
  <si>
    <t xml:space="preserve"> Owens Illinois Inc.</t>
  </si>
  <si>
    <t xml:space="preserve">Don Ice VP/IS </t>
  </si>
  <si>
    <t xml:space="preserve"> Aon Corp.</t>
  </si>
  <si>
    <t xml:space="preserve">John OÕConnell EVP/IS </t>
  </si>
  <si>
    <t xml:space="preserve"> Johnson &amp; Higgins</t>
  </si>
  <si>
    <t xml:space="preserve">Alan Page CIO </t>
  </si>
  <si>
    <t xml:space="preserve"> US West Communications Inc.</t>
  </si>
  <si>
    <t xml:space="preserve">David Laube CIO </t>
  </si>
  <si>
    <t xml:space="preserve"> Avery Dennison Corp.</t>
  </si>
  <si>
    <t xml:space="preserve">Johan J. Goemans VP/MIS </t>
  </si>
  <si>
    <t xml:space="preserve"> Dresser Industries Inc.</t>
  </si>
  <si>
    <t xml:space="preserve">Henry C. Paulsen VP/Info. Resources </t>
  </si>
  <si>
    <t xml:space="preserve"> Supervalu Inc.</t>
  </si>
  <si>
    <t xml:space="preserve">H.S. Smith SVP/IS </t>
  </si>
  <si>
    <t xml:space="preserve"> GenCorp Inc.</t>
  </si>
  <si>
    <t xml:space="preserve">Denni Interliggi Dir./IS </t>
  </si>
  <si>
    <t xml:space="preserve"> Quaker Oats Co.</t>
  </si>
  <si>
    <t xml:space="preserve">James Legere VP/IS </t>
  </si>
  <si>
    <t xml:space="preserve"> National Service Industries Inc.</t>
  </si>
  <si>
    <t xml:space="preserve">Mark Davidson VP/IS </t>
  </si>
  <si>
    <t xml:space="preserve"> Sun Microsystems Inc.</t>
  </si>
  <si>
    <t xml:space="preserve">William J. Raduchel CIO </t>
  </si>
  <si>
    <t xml:space="preserve"> Tektronix Inc.</t>
  </si>
  <si>
    <t xml:space="preserve">Robert Vance VP/IS </t>
  </si>
  <si>
    <t xml:space="preserve"> General Signal Corp.</t>
  </si>
  <si>
    <t xml:space="preserve">Sherwood Brown Dir./IS </t>
  </si>
  <si>
    <t xml:space="preserve"> PacifiCorp</t>
  </si>
  <si>
    <t xml:space="preserve">Paul Pechersky VP &amp; CIO </t>
  </si>
  <si>
    <t xml:space="preserve"> Avnet Inc.</t>
  </si>
  <si>
    <t xml:space="preserve">Anthony DeLuca CIO </t>
  </si>
  <si>
    <t xml:space="preserve"> Owens Corning Inc.</t>
  </si>
  <si>
    <t xml:space="preserve">Michael D. Radcliff CIO </t>
  </si>
  <si>
    <t xml:space="preserve"> Tyco International Ltd.</t>
  </si>
  <si>
    <t xml:space="preserve">Louis Chiesa VP/MIS </t>
  </si>
  <si>
    <t xml:space="preserve"> New York Life Insurance Co.</t>
  </si>
  <si>
    <t xml:space="preserve">Lee Lapioli VP &amp; CIO </t>
  </si>
  <si>
    <t xml:space="preserve"> Aetna Life and Casualty Co.</t>
  </si>
  <si>
    <t xml:space="preserve">Donald B. Himes VP/IS </t>
  </si>
  <si>
    <t xml:space="preserve"> Baker Hughes Inc.</t>
  </si>
  <si>
    <t xml:space="preserve">Leroy Harmeyer Dir./MIS </t>
  </si>
  <si>
    <t xml:space="preserve"> Eli Lilly and Co.</t>
  </si>
  <si>
    <t xml:space="preserve">Tom Trainer VP/IT &amp; CIO </t>
  </si>
  <si>
    <t xml:space="preserve"> Coca-Cola Enterprises Inc.</t>
  </si>
  <si>
    <t xml:space="preserve">Hugh Switzer VP/IS </t>
  </si>
  <si>
    <t xml:space="preserve"> EW Scripps Co.</t>
  </si>
  <si>
    <t xml:space="preserve"> Chase Manhattan Corp.</t>
  </si>
  <si>
    <t xml:space="preserve">Craig Goldman CIO &amp; SVP </t>
  </si>
  <si>
    <t xml:space="preserve"> Sequa Corp.</t>
  </si>
  <si>
    <t xml:space="preserve">Eileen McGrory VP/IS </t>
  </si>
  <si>
    <t xml:space="preserve"> Mark IV Industries Inc.</t>
  </si>
  <si>
    <t xml:space="preserve"> McDermott International Inc.</t>
  </si>
  <si>
    <t xml:space="preserve">John Ruckert VP </t>
  </si>
  <si>
    <t xml:space="preserve"> The Stanley Works</t>
  </si>
  <si>
    <t xml:space="preserve">James Gustafson VP/IT </t>
  </si>
  <si>
    <t xml:space="preserve"> Magnetek Inc.</t>
  </si>
  <si>
    <t xml:space="preserve">Debra Wiggins Dir./MIS </t>
  </si>
  <si>
    <t xml:space="preserve"> Ralston Purina Co.</t>
  </si>
  <si>
    <t xml:space="preserve">David Bangert Dir./MIS </t>
  </si>
  <si>
    <t xml:space="preserve"> Harnischfeger Industries Inc.</t>
  </si>
  <si>
    <t xml:space="preserve"> Alexander &amp; Alexander Services</t>
  </si>
  <si>
    <t xml:space="preserve"> Intergraph Corp.</t>
  </si>
  <si>
    <t xml:space="preserve">Milburn Clark Dir./IS </t>
  </si>
  <si>
    <t xml:space="preserve"> Scott Paper Co.</t>
  </si>
  <si>
    <t xml:space="preserve">Barbara Prutzman CIO </t>
  </si>
  <si>
    <t xml:space="preserve"> First Union Corp.</t>
  </si>
  <si>
    <t xml:space="preserve">Austin Adams EVP </t>
  </si>
  <si>
    <t xml:space="preserve"> Tyson Foods Inc.</t>
  </si>
  <si>
    <t xml:space="preserve">Steve Hankins VP/MIS </t>
  </si>
  <si>
    <t xml:space="preserve"> Alleghany Corp.</t>
  </si>
  <si>
    <t xml:space="preserve"> Loews Corp.</t>
  </si>
  <si>
    <t xml:space="preserve">Dennis Smith VP/MIS </t>
  </si>
  <si>
    <t xml:space="preserve"> Wang Laboratories Inc.</t>
  </si>
  <si>
    <t xml:space="preserve">William Schrader VP </t>
  </si>
  <si>
    <t xml:space="preserve"> Union Pacific Corp.</t>
  </si>
  <si>
    <t xml:space="preserve">Joyce M. Wrenn VP/IT &amp; CIO </t>
  </si>
  <si>
    <t xml:space="preserve"> Reynolds Metals Co.</t>
  </si>
  <si>
    <t xml:space="preserve">James T. Matsey Corp. Dir/IS </t>
  </si>
  <si>
    <t xml:space="preserve"> Continental Corp.</t>
  </si>
  <si>
    <t xml:space="preserve">Bruce Brodie CIO </t>
  </si>
  <si>
    <t xml:space="preserve"> Champion International Corp.</t>
  </si>
  <si>
    <t xml:space="preserve">Dan Smith VP/MIS </t>
  </si>
  <si>
    <t xml:space="preserve"> Mellon Bank Corp.</t>
  </si>
  <si>
    <t xml:space="preserve">Martin J. Lippert SVP </t>
  </si>
  <si>
    <t xml:space="preserve"> Boatmens Bancshares Inc.</t>
  </si>
  <si>
    <t xml:space="preserve">Ray Senuk SVP </t>
  </si>
  <si>
    <t xml:space="preserve"> Trinova Corp.</t>
  </si>
  <si>
    <t xml:space="preserve">Charles Stoneberg Dir./Data Center </t>
  </si>
  <si>
    <t xml:space="preserve"> Sverdrup Corp.</t>
  </si>
  <si>
    <t xml:space="preserve">John Moore VP </t>
  </si>
  <si>
    <t xml:space="preserve"> Deluxe Corp.</t>
  </si>
  <si>
    <t xml:space="preserve">Bob Swisher Mgr./IS </t>
  </si>
  <si>
    <t xml:space="preserve"> Berkshire Hathaway Inc.</t>
  </si>
  <si>
    <t xml:space="preserve">Tom Trotter Dir./IS </t>
  </si>
  <si>
    <t xml:space="preserve"> Manville Corp.</t>
  </si>
  <si>
    <t xml:space="preserve">Thomas Cook VP &amp; CIO </t>
  </si>
  <si>
    <t xml:space="preserve"> Springs Industries Inc.</t>
  </si>
  <si>
    <t xml:space="preserve">James Wood VP/IS </t>
  </si>
  <si>
    <t xml:space="preserve"> VF Corp.</t>
  </si>
  <si>
    <t xml:space="preserve">Tom Scott VP/Bus. Sys. </t>
  </si>
  <si>
    <t xml:space="preserve"> Host Marriott Corp.</t>
  </si>
  <si>
    <t xml:space="preserve">John Murray SVP </t>
  </si>
  <si>
    <t xml:space="preserve"> Campbell Soup Co.</t>
  </si>
  <si>
    <t xml:space="preserve">Harry Wallaesa VP/MIS </t>
  </si>
  <si>
    <t xml:space="preserve"> Phillips Petroleum Co.</t>
  </si>
  <si>
    <t xml:space="preserve">Frank Barbee Mgr./IT </t>
  </si>
  <si>
    <t xml:space="preserve"> Hercules Inc.</t>
  </si>
  <si>
    <t xml:space="preserve">Christopher Witham VP/Info. Mgt. </t>
  </si>
  <si>
    <t xml:space="preserve"> Procter &amp; Gamble Co.</t>
  </si>
  <si>
    <t xml:space="preserve">Frank Caccamo VP/Mgt. Sys. </t>
  </si>
  <si>
    <t xml:space="preserve"> Westvaco Corp.</t>
  </si>
  <si>
    <t xml:space="preserve">Rodney Elser VP/IS </t>
  </si>
  <si>
    <t xml:space="preserve"> Gaylord Container Corp.</t>
  </si>
  <si>
    <t xml:space="preserve">James Adams Dir. </t>
  </si>
  <si>
    <t xml:space="preserve"> Boise Cascade Corp.</t>
  </si>
  <si>
    <t xml:space="preserve">James Harder Dir./IS </t>
  </si>
  <si>
    <t xml:space="preserve"> First Financial Management Corp.</t>
  </si>
  <si>
    <t xml:space="preserve">H. Paul Womack Pres./Data Svs. </t>
  </si>
  <si>
    <t xml:space="preserve"> Whirlpool Corp.</t>
  </si>
  <si>
    <t xml:space="preserve">Dan McNicholl VP/IS </t>
  </si>
  <si>
    <t xml:space="preserve"> Coltec Industries Inc.</t>
  </si>
  <si>
    <t xml:space="preserve">Edward Stamps Mgr./Tech. Serv. </t>
  </si>
  <si>
    <t xml:space="preserve"> Data General Corp.</t>
  </si>
  <si>
    <t xml:space="preserve">James Ryan VP/Info. Mgt. Group </t>
  </si>
  <si>
    <t xml:space="preserve"> New York Times Co.</t>
  </si>
  <si>
    <t xml:space="preserve">Raymond Douglas VP/Sys. &amp; Tech. </t>
  </si>
  <si>
    <t xml:space="preserve"> Insilco Corp.</t>
  </si>
  <si>
    <t xml:space="preserve">Fred Mall CIO </t>
  </si>
  <si>
    <t xml:space="preserve"> National City Corp.</t>
  </si>
  <si>
    <t xml:space="preserve">Jon Gorney EVP </t>
  </si>
  <si>
    <t xml:space="preserve"> Safeway Inc.</t>
  </si>
  <si>
    <t xml:space="preserve">David Ching SVP &amp; CIO </t>
  </si>
  <si>
    <t xml:space="preserve"> USG Corp.</t>
  </si>
  <si>
    <t xml:space="preserve">William Duran Dir./MIS </t>
  </si>
  <si>
    <t xml:space="preserve"> Entergy Corp.</t>
  </si>
  <si>
    <t xml:space="preserve">Dennis Walsh VP &amp; CIO </t>
  </si>
  <si>
    <t xml:space="preserve"> Federated Department Stores Inc.</t>
  </si>
  <si>
    <t xml:space="preserve">Larry Honig CEO/IT </t>
  </si>
  <si>
    <t xml:space="preserve"> Merck &amp; Co. Inc.</t>
  </si>
  <si>
    <t xml:space="preserve">Charles Popper VP/Comp. Resources </t>
  </si>
  <si>
    <t xml:space="preserve"> Nynex Corp.</t>
  </si>
  <si>
    <t xml:space="preserve">Joseph Castellano VP/CIO </t>
  </si>
  <si>
    <t xml:space="preserve"> HJ Heinz Co.</t>
  </si>
  <si>
    <t xml:space="preserve">Daniel Kambic Mgr./Corp. IT </t>
  </si>
  <si>
    <t xml:space="preserve"> First Bank System Inc.</t>
  </si>
  <si>
    <t xml:space="preserve">Terrance P. Sandick Pres./IS </t>
  </si>
  <si>
    <t xml:space="preserve"> Tribune Co.</t>
  </si>
  <si>
    <t xml:space="preserve">John Kazik SVP/IS </t>
  </si>
  <si>
    <t xml:space="preserve"> Snap-On Inc.</t>
  </si>
  <si>
    <t xml:space="preserve">Laurence G. Panatera VP &amp; CIO </t>
  </si>
  <si>
    <t xml:space="preserve"> Phelps Dodge Corp.</t>
  </si>
  <si>
    <t xml:space="preserve">Dudley McRae Dir./IS </t>
  </si>
  <si>
    <t xml:space="preserve"> Dial Corp.</t>
  </si>
  <si>
    <t xml:space="preserve">Michael Brown CIO </t>
  </si>
  <si>
    <t xml:space="preserve"> Paccar Inc.</t>
  </si>
  <si>
    <t xml:space="preserve">Bruce Carlson GM/IS </t>
  </si>
  <si>
    <t xml:space="preserve"> Bechtel Group Inc.</t>
  </si>
  <si>
    <t xml:space="preserve">Robert Trickovic Mgr./IS </t>
  </si>
  <si>
    <t xml:space="preserve"> Abbott Laboratories</t>
  </si>
  <si>
    <t xml:space="preserve">Kenneth Farmer VP/MIS </t>
  </si>
  <si>
    <t xml:space="preserve"> SPX Corp.</t>
  </si>
  <si>
    <t xml:space="preserve"> Parsons Corp.</t>
  </si>
  <si>
    <t xml:space="preserve"> Reliance Electric Co.</t>
  </si>
  <si>
    <t xml:space="preserve">P.J. Tsivitse VP/Tech. </t>
  </si>
  <si>
    <t xml:space="preserve"> Continental Cablevision Inc.</t>
  </si>
  <si>
    <t xml:space="preserve"> McKesson Corp.</t>
  </si>
  <si>
    <t xml:space="preserve">Carmine Villani VP/Info. Mgt. </t>
  </si>
  <si>
    <t xml:space="preserve"> PaineWebber Group Inc.</t>
  </si>
  <si>
    <t xml:space="preserve">Robert McKinney CIO </t>
  </si>
  <si>
    <t xml:space="preserve"> Echlin Inc.</t>
  </si>
  <si>
    <t xml:space="preserve">Richard J. Hock Dir./MIS </t>
  </si>
  <si>
    <t xml:space="preserve"> Armco Inc.</t>
  </si>
  <si>
    <t xml:space="preserve">Pat Meneely VP/IS </t>
  </si>
  <si>
    <t xml:space="preserve"> Melville Corp.</t>
  </si>
  <si>
    <t xml:space="preserve">John Mitchell CIO </t>
  </si>
  <si>
    <t xml:space="preserve"> First of America Bank Corp.</t>
  </si>
  <si>
    <t xml:space="preserve">Donald Kenney VP/Auto. </t>
  </si>
  <si>
    <t xml:space="preserve"> MascoTech Inc.</t>
  </si>
  <si>
    <t xml:space="preserve">Douglas Witham Dir./IS </t>
  </si>
  <si>
    <t xml:space="preserve"> Simpson Investment Co.</t>
  </si>
  <si>
    <t xml:space="preserve">Tony Berger Dir./MIS </t>
  </si>
  <si>
    <t xml:space="preserve"> Union Carbide Corp.</t>
  </si>
  <si>
    <t xml:space="preserve">John Gigerich VP &amp; CIO </t>
  </si>
  <si>
    <t xml:space="preserve"> Timken Co.</t>
  </si>
  <si>
    <t xml:space="preserve">R.L. Leibensperger VP/Tech. </t>
  </si>
  <si>
    <t xml:space="preserve"> Pfizer Inc.</t>
  </si>
  <si>
    <t xml:space="preserve">Cathleen OÕConnor VP/IT </t>
  </si>
  <si>
    <t xml:space="preserve"> Day &amp; Zimmermann Inc.</t>
  </si>
  <si>
    <t xml:space="preserve"> Omnicom Group Inc.</t>
  </si>
  <si>
    <t xml:space="preserve"> May Department Stores Co.</t>
  </si>
  <si>
    <t xml:space="preserve">John Danahy SVP/DP </t>
  </si>
  <si>
    <t xml:space="preserve"> Mars Inc.</t>
  </si>
  <si>
    <t xml:space="preserve"> Wal-Mart Stores Inc.</t>
  </si>
  <si>
    <t xml:space="preserve">Randall Mott SVP &amp; CIO </t>
  </si>
  <si>
    <t xml:space="preserve"> Federal-Mogul Corp.</t>
  </si>
  <si>
    <t xml:space="preserve">Thomas English VP/IS </t>
  </si>
  <si>
    <t xml:space="preserve"> Ryder System Inc.</t>
  </si>
  <si>
    <t xml:space="preserve">Bruce D. Parker CIO </t>
  </si>
  <si>
    <t xml:space="preserve"> Pitney Bowes Inc.</t>
  </si>
  <si>
    <t xml:space="preserve">Joe Nathans Dir./IS </t>
  </si>
  <si>
    <t xml:space="preserve"> PNC Bank Corp.</t>
  </si>
  <si>
    <t xml:space="preserve">Timothy Shack SVP </t>
  </si>
  <si>
    <t xml:space="preserve"> Rhone-Poulenc Rorer Inc.</t>
  </si>
  <si>
    <t xml:space="preserve">Jeffrey Kiesling VP/IS </t>
  </si>
  <si>
    <t xml:space="preserve"> Milliken &amp; Co.</t>
  </si>
  <si>
    <t xml:space="preserve">Jim McCabe Dir./IS </t>
  </si>
  <si>
    <t xml:space="preserve"> Gates Corp.</t>
  </si>
  <si>
    <t xml:space="preserve">J. Tucker Stone Dir./IS </t>
  </si>
  <si>
    <t xml:space="preserve"> Intel Corp.</t>
  </si>
  <si>
    <t xml:space="preserve">Charlene Ellis VP/IT &amp; CIO </t>
  </si>
  <si>
    <t xml:space="preserve"> Roadway Services Inc.</t>
  </si>
  <si>
    <t xml:space="preserve">Gerry Long Pres./IT </t>
  </si>
  <si>
    <t xml:space="preserve"> Kemper Corp.</t>
  </si>
  <si>
    <t xml:space="preserve">Robert Tarjan IS Exec. Officer </t>
  </si>
  <si>
    <t xml:space="preserve"> Navistar International Corp.</t>
  </si>
  <si>
    <t xml:space="preserve">Arthur Data VP/IS </t>
  </si>
  <si>
    <t xml:space="preserve"> NBD Bancorp Inc.</t>
  </si>
  <si>
    <t xml:space="preserve">Gary Linderode VP </t>
  </si>
  <si>
    <t xml:space="preserve"> Borden Inc.</t>
  </si>
  <si>
    <t xml:space="preserve">Francis J. Proto VP &amp; CIO </t>
  </si>
  <si>
    <t xml:space="preserve"> Great American Mgmt. Investment</t>
  </si>
  <si>
    <t xml:space="preserve">Mike Cocoran Dir./Comp. Op. </t>
  </si>
  <si>
    <t xml:space="preserve"> Armstrong World Industries Inc.</t>
  </si>
  <si>
    <t xml:space="preserve">Jim Sabino Dir./Business IS </t>
  </si>
  <si>
    <t xml:space="preserve"> Levi Strauss Associates Inc.</t>
  </si>
  <si>
    <t xml:space="preserve">Bill Eaton CIO </t>
  </si>
  <si>
    <t xml:space="preserve"> American Financial Corp.</t>
  </si>
  <si>
    <t xml:space="preserve">Gerald Drew VP </t>
  </si>
  <si>
    <t xml:space="preserve"> Becton Dickinson &amp; Co.</t>
  </si>
  <si>
    <t xml:space="preserve">Alfred J. Battaglia CIO </t>
  </si>
  <si>
    <t xml:space="preserve"> Bemis Co. Inc.</t>
  </si>
  <si>
    <t xml:space="preserve">Thomas J. Barrett Dir./IS </t>
  </si>
  <si>
    <t xml:space="preserve"> E Systems Inc.</t>
  </si>
  <si>
    <t xml:space="preserve">Glen Onley Dir./IS </t>
  </si>
  <si>
    <t xml:space="preserve"> Harsco Corp.</t>
  </si>
  <si>
    <t xml:space="preserve">Sohail Shafi CIO </t>
  </si>
  <si>
    <t xml:space="preserve"> CSX Corp.</t>
  </si>
  <si>
    <t xml:space="preserve">John Andrews Pres./CSX Tech. </t>
  </si>
  <si>
    <t xml:space="preserve"> Morton International Inc.</t>
  </si>
  <si>
    <t xml:space="preserve">Donald Kidd VP/MIS </t>
  </si>
  <si>
    <t xml:space="preserve"> ClubCorp</t>
  </si>
  <si>
    <t xml:space="preserve">Daniel Barth SVP </t>
  </si>
  <si>
    <t xml:space="preserve"> Mac Andrews &amp; Forbes Holdings</t>
  </si>
  <si>
    <t xml:space="preserve"> First Security Info. Technology</t>
  </si>
  <si>
    <t xml:space="preserve">Al Pino CIO </t>
  </si>
  <si>
    <t xml:space="preserve"> Duke Power Co.</t>
  </si>
  <si>
    <t xml:space="preserve">Jim Hicks VP/IT </t>
  </si>
  <si>
    <t xml:space="preserve"> Colgate-Palmolive Co.</t>
  </si>
  <si>
    <t xml:space="preserve">Ed Toben VP/IS </t>
  </si>
  <si>
    <t xml:space="preserve"> Premark International Inc.</t>
  </si>
  <si>
    <t xml:space="preserve">James Sullivan Dir./Corp. IS </t>
  </si>
  <si>
    <t xml:space="preserve"> Gold Kist Inc.</t>
  </si>
  <si>
    <t xml:space="preserve">Michael Thrailkill VP/IS </t>
  </si>
  <si>
    <t xml:space="preserve"> Freedom Communications</t>
  </si>
  <si>
    <t xml:space="preserve"> PHH Corp.</t>
  </si>
  <si>
    <t xml:space="preserve">Roy Meierhenry CIO </t>
  </si>
  <si>
    <t xml:space="preserve"> Vulcan Materials Co.</t>
  </si>
  <si>
    <t xml:space="preserve">Harold Nelson Dir./ IS </t>
  </si>
  <si>
    <t xml:space="preserve"> Arvin Industries Inc.</t>
  </si>
  <si>
    <t xml:space="preserve">Dan Moore Dir./Corp. Data Center </t>
  </si>
  <si>
    <t xml:space="preserve"> Thermo Electron Corp.</t>
  </si>
  <si>
    <t xml:space="preserve">John Giansante Dir./IS </t>
  </si>
  <si>
    <t xml:space="preserve"> Sonoco Products Co.</t>
  </si>
  <si>
    <t xml:space="preserve">Bernard W. Campbell VP/Corp. IS </t>
  </si>
  <si>
    <t xml:space="preserve"> Inland Steel Industries Inc.</t>
  </si>
  <si>
    <t xml:space="preserve">William Howard CIO </t>
  </si>
  <si>
    <t xml:space="preserve"> Consolidated Edison Co. of N.Y.</t>
  </si>
  <si>
    <t xml:space="preserve">James P. O'Brien VP </t>
  </si>
  <si>
    <t xml:space="preserve"> CPC International Inc.</t>
  </si>
  <si>
    <t xml:space="preserve">John Androski Dir. </t>
  </si>
  <si>
    <t xml:space="preserve"> Kimberly-Clark Corp.</t>
  </si>
  <si>
    <t xml:space="preserve">James Dull VP/IS </t>
  </si>
  <si>
    <t xml:space="preserve"> St Paul Cos. Inc.</t>
  </si>
  <si>
    <t xml:space="preserve">Wayne Hoeschen SVP </t>
  </si>
  <si>
    <t xml:space="preserve"> Jostens Inc.</t>
  </si>
  <si>
    <t xml:space="preserve">Nick Simonds CIO </t>
  </si>
  <si>
    <t xml:space="preserve"> Illinois Tool Works Inc.</t>
  </si>
  <si>
    <t xml:space="preserve">Frank Gugliuuzza Mgr./IS </t>
  </si>
  <si>
    <t xml:space="preserve"> Cabot Corp.</t>
  </si>
  <si>
    <t xml:space="preserve">Michael Karlson CIO </t>
  </si>
  <si>
    <t xml:space="preserve"> Towers Perrin</t>
  </si>
  <si>
    <t xml:space="preserve">Elroy Tobois Dir./Corp. IS </t>
  </si>
  <si>
    <t xml:space="preserve"> ServiceMaster Ltd. Partnership</t>
  </si>
  <si>
    <t xml:space="preserve">Douglas Nies VP/IS </t>
  </si>
  <si>
    <t xml:space="preserve"> AMP Inc.</t>
  </si>
  <si>
    <t xml:space="preserve">Ron Vance Dir./Sys. Svs. </t>
  </si>
  <si>
    <t xml:space="preserve"> Northern States Power Co.</t>
  </si>
  <si>
    <t xml:space="preserve">R.D. Sandeen VP &amp; CIO </t>
  </si>
  <si>
    <t xml:space="preserve"> Willamette Industries Inc.</t>
  </si>
  <si>
    <t xml:space="preserve">Cam Henderson Mgr./MIS </t>
  </si>
  <si>
    <t xml:space="preserve"> Asarco Inc.</t>
  </si>
  <si>
    <t xml:space="preserve"> Imo Industries Inc.</t>
  </si>
  <si>
    <t xml:space="preserve"> American Electric Power Co.</t>
  </si>
  <si>
    <t xml:space="preserve">Josepth Valentine VP/IS </t>
  </si>
  <si>
    <t xml:space="preserve"> Dayton Hudson Corp.</t>
  </si>
  <si>
    <t xml:space="preserve">Gary Wegner Dir./MIS </t>
  </si>
  <si>
    <t xml:space="preserve"> Harcourt General Inc.</t>
  </si>
  <si>
    <t xml:space="preserve">James Quint Mgr./IS </t>
  </si>
  <si>
    <t xml:space="preserve"> American Standard Inc.</t>
  </si>
  <si>
    <t xml:space="preserve">Pete Rogers VP/MIS </t>
  </si>
  <si>
    <t xml:space="preserve"> Kaman Corp.</t>
  </si>
  <si>
    <t xml:space="preserve">Ronald Galla VP/MIS </t>
  </si>
  <si>
    <t xml:space="preserve"> Ball Corp.</t>
  </si>
  <si>
    <t xml:space="preserve">Richard Durbin VP/MIS </t>
  </si>
  <si>
    <t xml:space="preserve"> Norfolk Southern Corp.</t>
  </si>
  <si>
    <t xml:space="preserve">C.W. Moorman VP/IT </t>
  </si>
  <si>
    <t xml:space="preserve"> Rohm and Haas Co.</t>
  </si>
  <si>
    <t xml:space="preserve">David Stitely CIO &amp; VP/IT </t>
  </si>
  <si>
    <t xml:space="preserve"> Wells Fargo &amp; Co.</t>
  </si>
  <si>
    <t xml:space="preserve">Barry Lynn EVP/IS </t>
  </si>
  <si>
    <t xml:space="preserve"> Brunswick Corp.</t>
  </si>
  <si>
    <t xml:space="preserve">Howard Gielow Dir./IRM </t>
  </si>
  <si>
    <t xml:space="preserve"> Burlington Northern Inc.</t>
  </si>
  <si>
    <t xml:space="preserve">Charles Feld CIO </t>
  </si>
  <si>
    <t xml:space="preserve"> Bank of Boston Corp.</t>
  </si>
  <si>
    <t xml:space="preserve">Michael Lizinski CTO </t>
  </si>
  <si>
    <t xml:space="preserve"> Yellow Corp.</t>
  </si>
  <si>
    <t xml:space="preserve">Peter Roman VP/IT </t>
  </si>
  <si>
    <t xml:space="preserve"> General Mills Inc.</t>
  </si>
  <si>
    <t xml:space="preserve">Phillip Semmer VP/IS </t>
  </si>
  <si>
    <t xml:space="preserve"> Cray Research Inc.</t>
  </si>
  <si>
    <t xml:space="preserve">John Aldag Dir./Corp. Comp. </t>
  </si>
  <si>
    <t xml:space="preserve"> Sammons Enterprises Inc.</t>
  </si>
  <si>
    <t xml:space="preserve"> Collins &amp; Aikman Corp.</t>
  </si>
  <si>
    <t xml:space="preserve"> Computer Associates Intl. Inc.</t>
  </si>
  <si>
    <t xml:space="preserve">Glen Gianino VP/Comp. Svs. </t>
  </si>
  <si>
    <t xml:space="preserve"> Figgie International Inc.</t>
  </si>
  <si>
    <t xml:space="preserve">James Harold Dir./MIS </t>
  </si>
  <si>
    <t xml:space="preserve"> Young &amp; Rubicam Inc.</t>
  </si>
  <si>
    <t xml:space="preserve">James R. Scielzo VP/Chief Tech Officer </t>
  </si>
  <si>
    <t xml:space="preserve"> #N/ACCO Industries Inc.</t>
  </si>
  <si>
    <t xml:space="preserve"> Comdisco Inc.</t>
  </si>
  <si>
    <t xml:space="preserve">Gregory Sabatello VP/IT </t>
  </si>
  <si>
    <t xml:space="preserve"> Consolidated Natural Gas Co.</t>
  </si>
  <si>
    <t xml:space="preserve">Daniel Madden VP/IS </t>
  </si>
  <si>
    <t xml:space="preserve"> Chubb Corp.</t>
  </si>
  <si>
    <t xml:space="preserve">Charles McCaig SVP/IS </t>
  </si>
  <si>
    <t xml:space="preserve"> Carolina Power and Light Co.</t>
  </si>
  <si>
    <t xml:space="preserve">R. Thomas Dwyer VP/IS </t>
  </si>
  <si>
    <t xml:space="preserve"> American General Corp.</t>
  </si>
  <si>
    <t xml:space="preserve">Neal Goodman Dir./Sys. &amp; Tech. </t>
  </si>
  <si>
    <t xml:space="preserve"> Interpublic Group of Cos.</t>
  </si>
  <si>
    <t xml:space="preserve">Frank Grayeski Dir./IT </t>
  </si>
  <si>
    <t xml:space="preserve"> Household International Inc.</t>
  </si>
  <si>
    <t xml:space="preserve">David B. Barany SVP &amp; CIO </t>
  </si>
  <si>
    <t xml:space="preserve"> Kansas City Southern Industries</t>
  </si>
  <si>
    <t xml:space="preserve">Thomas Hobbs VP/IS </t>
  </si>
  <si>
    <t xml:space="preserve"> Pacific Telesis Group</t>
  </si>
  <si>
    <t xml:space="preserve">Ed Hall CIO </t>
  </si>
  <si>
    <t xml:space="preserve"> Gillette Co.</t>
  </si>
  <si>
    <t xml:space="preserve">Patrick Zilvitis VP/Corp. IT </t>
  </si>
  <si>
    <t xml:space="preserve"> Winn Dixie Stores Inc.</t>
  </si>
  <si>
    <t xml:space="preserve">Dan Davis CIO </t>
  </si>
  <si>
    <t xml:space="preserve"> Firstar Corp.</t>
  </si>
  <si>
    <t xml:space="preserve">Ronald Roder Pres./IT </t>
  </si>
  <si>
    <t xml:space="preserve"> Dean Foods Co.</t>
  </si>
  <si>
    <t xml:space="preserve">John Brenner Dir./MIS </t>
  </si>
  <si>
    <t xml:space="preserve"> Crown Cork &amp; Seal Co. Inc.</t>
  </si>
  <si>
    <t xml:space="preserve">Peter Julian CIO </t>
  </si>
  <si>
    <t xml:space="preserve"> Sundstrand Corp.</t>
  </si>
  <si>
    <t xml:space="preserve"> Seagate Technology Inc.</t>
  </si>
  <si>
    <t xml:space="preserve">Thomas Dillon VP &amp; CIO </t>
  </si>
  <si>
    <t xml:space="preserve"> AMR Corp.</t>
  </si>
  <si>
    <t xml:space="preserve">Michael J. Durham CEO </t>
  </si>
  <si>
    <t xml:space="preserve"> Sherwin Williams Co.</t>
  </si>
  <si>
    <t xml:space="preserve">Wayne Gacnik Corp. Dir./MIS </t>
  </si>
  <si>
    <t xml:space="preserve"> Florida Power &amp; Light Co.</t>
  </si>
  <si>
    <t xml:space="preserve">Dennis Klinger VP/Info. Mgt. </t>
  </si>
  <si>
    <t xml:space="preserve"> General Public Utilities Corp.</t>
  </si>
  <si>
    <t xml:space="preserve">Claude Mignon VP/IS </t>
  </si>
  <si>
    <t xml:space="preserve"> Consolidated Freightways Inc.</t>
  </si>
  <si>
    <t xml:space="preserve">Maurice W. Johnson VP/IS </t>
  </si>
  <si>
    <t xml:space="preserve"> Cardinal Health Inc.</t>
  </si>
  <si>
    <t xml:space="preserve">Philip Greth VP/IS </t>
  </si>
  <si>
    <t xml:space="preserve"> Allmerica Financial Group</t>
  </si>
  <si>
    <t xml:space="preserve">Kruno Huitzing VP &amp; CIO </t>
  </si>
  <si>
    <t xml:space="preserve"> JM Huber Corp.</t>
  </si>
  <si>
    <t xml:space="preserve">John M. Shiels VP </t>
  </si>
  <si>
    <t xml:space="preserve"> SCEcorp</t>
  </si>
  <si>
    <t xml:space="preserve">Janet Halliwell CIO </t>
  </si>
  <si>
    <t xml:space="preserve"> Foster Wheeler Corp.</t>
  </si>
  <si>
    <t xml:space="preserve">Walter Dakdrup Mgr./IS </t>
  </si>
  <si>
    <t xml:space="preserve"> Old Republic International Corp.</t>
  </si>
  <si>
    <t xml:space="preserve">Edward OÕConner VP/IS </t>
  </si>
  <si>
    <t xml:space="preserve"> American Stores Co.</t>
  </si>
  <si>
    <t xml:space="preserve">Stanley Whitcomb SVP/IS </t>
  </si>
  <si>
    <t xml:space="preserve"> Dole Food Co. Inc.</t>
  </si>
  <si>
    <t xml:space="preserve">Herbert W. Perkins III VP &amp; CIO </t>
  </si>
  <si>
    <t xml:space="preserve"> Thiokol Corp.</t>
  </si>
  <si>
    <t xml:space="preserve">Brad Stout CIO &amp; VP/IS </t>
  </si>
  <si>
    <t xml:space="preserve"> Schering Plough Corp.</t>
  </si>
  <si>
    <t xml:space="preserve">Robert Lyons VP/IS </t>
  </si>
  <si>
    <t xml:space="preserve"> Dean Witter Discover &amp; Co.</t>
  </si>
  <si>
    <t xml:space="preserve">David Diaz SVP/IT </t>
  </si>
  <si>
    <t xml:space="preserve"> TGI Friday's</t>
  </si>
  <si>
    <t xml:space="preserve">Michael H. Morrison Exec. Dir./IS </t>
  </si>
  <si>
    <t xml:space="preserve"> Liberty Mutual Group</t>
  </si>
  <si>
    <t xml:space="preserve">Terry Conner CIO </t>
  </si>
  <si>
    <t xml:space="preserve"> Interco Inc.</t>
  </si>
  <si>
    <t xml:space="preserve">Donald Hass Mgr./DP </t>
  </si>
  <si>
    <t xml:space="preserve"> Fluor Corp.</t>
  </si>
  <si>
    <t xml:space="preserve">Ken Cain VP/Info. Mgt. </t>
  </si>
  <si>
    <t xml:space="preserve"> Guardian Industries Corp.</t>
  </si>
  <si>
    <t xml:space="preserve">Enzo Fanelli Dir./IS </t>
  </si>
  <si>
    <t xml:space="preserve"> Great Western Financial Corp.</t>
  </si>
  <si>
    <t xml:space="preserve">Michael F. Moore CIO &amp; SVP </t>
  </si>
  <si>
    <t xml:space="preserve"> Danaher Corp.</t>
  </si>
  <si>
    <t xml:space="preserve"> Federal Express Corp.</t>
  </si>
  <si>
    <t xml:space="preserve">Dennis Jones VP &amp; CIO </t>
  </si>
  <si>
    <t xml:space="preserve"> Varian Associates Inc.</t>
  </si>
  <si>
    <t xml:space="preserve">Don McMorrow CIO </t>
  </si>
  <si>
    <t xml:space="preserve"> FHP International Corp.</t>
  </si>
  <si>
    <t xml:space="preserve">Jeffrey H. Margolis SVP &amp; CIO </t>
  </si>
  <si>
    <t xml:space="preserve"> AO Smith Corp.</t>
  </si>
  <si>
    <t xml:space="preserve">Charles Smith VP </t>
  </si>
  <si>
    <t xml:space="preserve"> Apple Computer Inc.</t>
  </si>
  <si>
    <t xml:space="preserve">Lisa Schreiber Dir./Data Center </t>
  </si>
  <si>
    <t xml:space="preserve"> Enron Corp.</t>
  </si>
  <si>
    <t xml:space="preserve">Alberto Gude Jr. VP/IS </t>
  </si>
  <si>
    <t xml:space="preserve"> Mallinckrodt Group</t>
  </si>
  <si>
    <t xml:space="preserve">Jeff Branan Dir./Comp. Svs. </t>
  </si>
  <si>
    <t xml:space="preserve"> Shaw Industries Inc.</t>
  </si>
  <si>
    <t xml:space="preserve">Rae Quinn VP/IS </t>
  </si>
  <si>
    <t xml:space="preserve"> Chesapeake Corp.</t>
  </si>
  <si>
    <t xml:space="preserve">Bob Brasington Mgr./IS </t>
  </si>
  <si>
    <t xml:space="preserve"> First Tennessee National Corp.</t>
  </si>
  <si>
    <t xml:space="preserve">Robert King SVP/IS </t>
  </si>
  <si>
    <t xml:space="preserve"> Dominion Resources Inc.</t>
  </si>
  <si>
    <t xml:space="preserve">Dennis Fishback Mgr./IS </t>
  </si>
  <si>
    <t xml:space="preserve"> Pentair Inc.</t>
  </si>
  <si>
    <t xml:space="preserve">Mark Schroepfer VP/MIS </t>
  </si>
  <si>
    <t xml:space="preserve"> MA Hanna Corp.</t>
  </si>
  <si>
    <t xml:space="preserve">Douglas Shrank VP </t>
  </si>
  <si>
    <t xml:space="preserve"> Marshall &amp; Ilsley Corp.</t>
  </si>
  <si>
    <t xml:space="preserve"> Payless Cashways Inc.</t>
  </si>
  <si>
    <t xml:space="preserve">Richard Nawrot SVP/IS </t>
  </si>
  <si>
    <t xml:space="preserve"> CR Bard Inc.</t>
  </si>
  <si>
    <t xml:space="preserve">Ronald Brickley VP/IS </t>
  </si>
  <si>
    <t xml:space="preserve"> Avon Products Inc.</t>
  </si>
  <si>
    <t xml:space="preserve">Ronald Mastrogiovanni SVP/IS </t>
  </si>
  <si>
    <t xml:space="preserve"> Nortek Inc.</t>
  </si>
  <si>
    <t xml:space="preserve"> Whitman Corp.</t>
  </si>
  <si>
    <t xml:space="preserve">Dan Dvorak VP/MIS </t>
  </si>
  <si>
    <t xml:space="preserve"> Ametek Inc.</t>
  </si>
  <si>
    <t xml:space="preserve">Bill Lawson Dir./IT </t>
  </si>
  <si>
    <t xml:space="preserve"> Travelers Insurance Co.</t>
  </si>
  <si>
    <t xml:space="preserve">Richard Morrison SVP &amp; CIO </t>
  </si>
  <si>
    <t xml:space="preserve"> Allegheny Power System Inc.</t>
  </si>
  <si>
    <t xml:space="preserve">Jeff Sefcheck Dir./IS </t>
  </si>
  <si>
    <t xml:space="preserve"> K III Holdings</t>
  </si>
  <si>
    <t xml:space="preserve"> Warner-Lambert Co.</t>
  </si>
  <si>
    <t xml:space="preserve">Demetrios Lappas VP &amp; CIO </t>
  </si>
  <si>
    <t xml:space="preserve"> GATX Corp.</t>
  </si>
  <si>
    <t xml:space="preserve">Robert Kane Dir./Corp. IS </t>
  </si>
  <si>
    <t xml:space="preserve"> Eagle Picher Industries Inc.</t>
  </si>
  <si>
    <t xml:space="preserve"> Morrison Knudsen Corp.</t>
  </si>
  <si>
    <t xml:space="preserve">Roger Widner Mgr./IS </t>
  </si>
  <si>
    <t xml:space="preserve"> JR Simplot Co.</t>
  </si>
  <si>
    <t xml:space="preserve">Raymond Sasso VP &amp; CIO </t>
  </si>
  <si>
    <t xml:space="preserve"> Steelcase Inc.</t>
  </si>
  <si>
    <t xml:space="preserve">Duke Croft Dir./IT </t>
  </si>
  <si>
    <t xml:space="preserve"> Maxxam Inc.</t>
  </si>
  <si>
    <t xml:space="preserve">David Geary Dir./Sys. </t>
  </si>
  <si>
    <t xml:space="preserve"> Battelle Memorial Institute</t>
  </si>
  <si>
    <t xml:space="preserve">William Evans Dir./IS </t>
  </si>
  <si>
    <t xml:space="preserve"> Kohler Co.</t>
  </si>
  <si>
    <t xml:space="preserve">Davor Grgic Dir./Corp. IS </t>
  </si>
  <si>
    <t xml:space="preserve"> Storage Technology Corp.</t>
  </si>
  <si>
    <t xml:space="preserve"> USAir Group Inc.</t>
  </si>
  <si>
    <t xml:space="preserve">John Harper SVP </t>
  </si>
  <si>
    <t xml:space="preserve"> Central Soya Co. Inc.</t>
  </si>
  <si>
    <t xml:space="preserve">Robert Drummond Dir./IS </t>
  </si>
  <si>
    <t xml:space="preserve"> Harris Bankcorp Inc.</t>
  </si>
  <si>
    <t xml:space="preserve"> LSI Logic Corp.</t>
  </si>
  <si>
    <t xml:space="preserve">Cindy Johnson VP/IS &amp; Sys. </t>
  </si>
  <si>
    <t xml:space="preserve"> John Hancock Mutual Life Ins. Co.</t>
  </si>
  <si>
    <t xml:space="preserve">Charlie Raeburn VP/IS </t>
  </si>
  <si>
    <t xml:space="preserve"> The Limited Inc.</t>
  </si>
  <si>
    <t xml:space="preserve">Jeannine Ralston Dir./MIS </t>
  </si>
  <si>
    <t xml:space="preserve"> LTV Steel Co.</t>
  </si>
  <si>
    <t xml:space="preserve">Jerry Heckerman VP/IS </t>
  </si>
  <si>
    <t xml:space="preserve"> Cincinnati Milacron Inc.</t>
  </si>
  <si>
    <t xml:space="preserve">Mary Jo Burns CIO </t>
  </si>
  <si>
    <t xml:space="preserve"> Triarc Cos. Inc.</t>
  </si>
  <si>
    <t xml:space="preserve">Barry Shufeld VP/IT </t>
  </si>
  <si>
    <t xml:space="preserve"> Walt Disney Co.</t>
  </si>
  <si>
    <t xml:space="preserve">Sharon Garrett CIO </t>
  </si>
  <si>
    <t xml:space="preserve"> Houston Lighting &amp; Power Co.</t>
  </si>
  <si>
    <t xml:space="preserve">Roger Rasbury GM/IS </t>
  </si>
  <si>
    <t xml:space="preserve"> GAF Corp.</t>
  </si>
  <si>
    <t xml:space="preserve">B.T. Schumacher VP </t>
  </si>
  <si>
    <t xml:space="preserve"> Montgomery Ward &amp; Co. Inc.</t>
  </si>
  <si>
    <t xml:space="preserve">Irving Hammer VP/Comp. Svs. </t>
  </si>
  <si>
    <t xml:space="preserve"> Pinnacle West Capital Corp.</t>
  </si>
  <si>
    <t xml:space="preserve">Catherine Jordon Dir./IS </t>
  </si>
  <si>
    <t xml:space="preserve"> Amsted Industries Inc.</t>
  </si>
  <si>
    <t xml:space="preserve">Ralph Nalepa Mgr./Sys </t>
  </si>
  <si>
    <t xml:space="preserve"> CMS Energy Corp.</t>
  </si>
  <si>
    <t xml:space="preserve">Micheal G. Morris Pres. &amp; CEO/IT </t>
  </si>
  <si>
    <t xml:space="preserve"> Corestates Financial Corp.</t>
  </si>
  <si>
    <t xml:space="preserve">Robert Gilmore CTO </t>
  </si>
  <si>
    <t xml:space="preserve"> Equitable Life Assurance</t>
  </si>
  <si>
    <t xml:space="preserve">Kevin McGilloway CIO </t>
  </si>
  <si>
    <t xml:space="preserve"> CBS Inc.</t>
  </si>
  <si>
    <t xml:space="preserve">Peter Crowell VP/IS </t>
  </si>
  <si>
    <t xml:space="preserve"> Burlington Industries Inc.</t>
  </si>
  <si>
    <t xml:space="preserve">Ritchie Fishburne Dir./Corp IS </t>
  </si>
  <si>
    <t xml:space="preserve"> Itel Corp.</t>
  </si>
  <si>
    <t xml:space="preserve"> WL Gore &amp; Associates Inc.</t>
  </si>
  <si>
    <t xml:space="preserve">Gene Allport Chief/DP </t>
  </si>
  <si>
    <t xml:space="preserve"> Reliance Group Holdings Inc.</t>
  </si>
  <si>
    <t xml:space="preserve">Ron Grunhut Mgr./IS </t>
  </si>
  <si>
    <t xml:space="preserve"> Ingram Industries Inc.</t>
  </si>
  <si>
    <t xml:space="preserve"> Farmland Industries Inc.</t>
  </si>
  <si>
    <t xml:space="preserve">Kent Nunn VP/IS </t>
  </si>
  <si>
    <t xml:space="preserve"> Comerica Inc.</t>
  </si>
  <si>
    <t xml:space="preserve">John Beran EVP/IS &amp; CIO </t>
  </si>
  <si>
    <t xml:space="preserve"> Maytag Corp.</t>
  </si>
  <si>
    <t xml:space="preserve">Edward Wojciechowski Corp. VP/IT </t>
  </si>
  <si>
    <t xml:space="preserve"> Koch Industries Inc.</t>
  </si>
  <si>
    <t xml:space="preserve">Tony Votaw Dir./IS </t>
  </si>
  <si>
    <t xml:space="preserve"> Central &amp; South West Corp.</t>
  </si>
  <si>
    <t xml:space="preserve">Don Shahan VP/IS </t>
  </si>
  <si>
    <t xml:space="preserve"> Borg Warner Security Corp.</t>
  </si>
  <si>
    <t xml:space="preserve">Steve Derry Mgr./IT </t>
  </si>
  <si>
    <t xml:space="preserve"> First Data Corp.</t>
  </si>
  <si>
    <t xml:space="preserve">Eula Adams SVP </t>
  </si>
  <si>
    <t xml:space="preserve"> Crane Co.</t>
  </si>
  <si>
    <t xml:space="preserve"> Meridian Bancorp Inc.</t>
  </si>
  <si>
    <t xml:space="preserve"> Wachovia Corp.</t>
  </si>
  <si>
    <t xml:space="preserve">Cecil Smith EVP/MIS </t>
  </si>
  <si>
    <t xml:space="preserve"> Sun Co. Inc.</t>
  </si>
  <si>
    <t xml:space="preserve">Jack Donohue CIO </t>
  </si>
  <si>
    <t xml:space="preserve"> Public Service Enterprise Group</t>
  </si>
  <si>
    <t xml:space="preserve">Glenn Rogers VP/IS </t>
  </si>
  <si>
    <t xml:space="preserve"> Commercial Metals Co.</t>
  </si>
  <si>
    <t xml:space="preserve">Graig Dow Dir./IS </t>
  </si>
  <si>
    <t xml:space="preserve"> McCormick &amp; Co. Inc.</t>
  </si>
  <si>
    <t xml:space="preserve">Robert Miller VP/MIS </t>
  </si>
  <si>
    <t xml:space="preserve"> Bausch &amp; Lomb Inc.</t>
  </si>
  <si>
    <t xml:space="preserve">Russ Sibley Mgr./MIS </t>
  </si>
  <si>
    <t xml:space="preserve"> Transamerica Corp.</t>
  </si>
  <si>
    <t xml:space="preserve">Catherine Daley Mgr./IS </t>
  </si>
  <si>
    <t xml:space="preserve"> Maritz Inc.</t>
  </si>
  <si>
    <t xml:space="preserve">Samuel Ottenlips Dir./IS </t>
  </si>
  <si>
    <t xml:space="preserve"> Polaroid Corp.</t>
  </si>
  <si>
    <t xml:space="preserve">Thomas Hennigan Dir./Corp. Info. Mgt. </t>
  </si>
  <si>
    <t xml:space="preserve"> American President Co.</t>
  </si>
  <si>
    <t xml:space="preserve">Jim Marston SVP &amp; CIO </t>
  </si>
  <si>
    <t xml:space="preserve"> Herman Miller Inc.</t>
  </si>
  <si>
    <t xml:space="preserve">Wayne Brower VP/Corp. Bus. Sys. </t>
  </si>
  <si>
    <t xml:space="preserve"> Lennox International Inc.</t>
  </si>
  <si>
    <t xml:space="preserve"> Borg Warner Automotive Inc.</t>
  </si>
  <si>
    <t xml:space="preserve"> Beckman Instruments Inc.</t>
  </si>
  <si>
    <t xml:space="preserve">Carl Wyrva Dir./MIS </t>
  </si>
  <si>
    <t xml:space="preserve"> MicroAge Inc.</t>
  </si>
  <si>
    <t xml:space="preserve">Barbara Cooper VP/IS </t>
  </si>
  <si>
    <t xml:space="preserve"> Fidelity Systems Co.</t>
  </si>
  <si>
    <t xml:space="preserve">Albert Aiello Pres./IT </t>
  </si>
  <si>
    <t xml:space="preserve"> Joseph E. Seagram &amp; Sons Inc.</t>
  </si>
  <si>
    <t xml:space="preserve">Judith Shapiro SVP/MIS </t>
  </si>
  <si>
    <t xml:space="preserve"> USF&amp;G Corp.</t>
  </si>
  <si>
    <t xml:space="preserve">Tom K. Lewis SVP/MIS &amp; CIO </t>
  </si>
  <si>
    <t xml:space="preserve"> US Bancorp of Oregon</t>
  </si>
  <si>
    <t xml:space="preserve">Lamoine Saunders EVP </t>
  </si>
  <si>
    <t xml:space="preserve"> General Dynamics Corp.</t>
  </si>
  <si>
    <t xml:space="preserve"> Hillenbrand Industries Inc.</t>
  </si>
  <si>
    <t xml:space="preserve">Colin Goodnight Mgr./Corp. MIS </t>
  </si>
  <si>
    <t xml:space="preserve"> Kerr McGee Corp.</t>
  </si>
  <si>
    <t xml:space="preserve">William Young Dir./IT </t>
  </si>
  <si>
    <t xml:space="preserve"> Northeast Utilities Inc.</t>
  </si>
  <si>
    <t xml:space="preserve">Tod O. Dixon VP </t>
  </si>
  <si>
    <t xml:space="preserve"> Columbia Gas System Inc.</t>
  </si>
  <si>
    <t xml:space="preserve">Philip Magley CIO </t>
  </si>
  <si>
    <t xml:space="preserve"> Microsoft Corp.</t>
  </si>
  <si>
    <t xml:space="preserve">Christopher Gibbons CIO </t>
  </si>
  <si>
    <t xml:space="preserve"> Medtronic Inc.</t>
  </si>
  <si>
    <t xml:space="preserve"> Banta Corp.</t>
  </si>
  <si>
    <t xml:space="preserve">Gerald Henseler CIO </t>
  </si>
  <si>
    <t xml:space="preserve"> International Multifoods Corp.</t>
  </si>
  <si>
    <t xml:space="preserve">Pat Halbach Dir./IS </t>
  </si>
  <si>
    <t xml:space="preserve"> Detroit Edison Co.</t>
  </si>
  <si>
    <t xml:space="preserve">Donald J. Brett VP/Mgr. IS </t>
  </si>
  <si>
    <t xml:space="preserve"> Washington Post Co.</t>
  </si>
  <si>
    <t xml:space="preserve">Elizabeth Loker VP/IS </t>
  </si>
  <si>
    <t xml:space="preserve"> Booz Allen &amp; Hamilton Inc.</t>
  </si>
  <si>
    <t xml:space="preserve">Ed Vaccaro CIO </t>
  </si>
  <si>
    <t xml:space="preserve"> Witco Corp.</t>
  </si>
  <si>
    <t xml:space="preserve">Ronald Edelstein VP/MIS </t>
  </si>
  <si>
    <t xml:space="preserve"> Journal Communications Inc.</t>
  </si>
  <si>
    <t xml:space="preserve">Peter Stockhausen VP/IT </t>
  </si>
  <si>
    <t xml:space="preserve"> Woolworth Corp.</t>
  </si>
  <si>
    <t xml:space="preserve">Phillip Richards VP/IS </t>
  </si>
  <si>
    <t xml:space="preserve"> Bankers Trust Co.</t>
  </si>
  <si>
    <t xml:space="preserve">Carmine Vona Managing Dir. </t>
  </si>
  <si>
    <t xml:space="preserve"> JP Morgan &amp; Co. Inc.</t>
  </si>
  <si>
    <t xml:space="preserve">M. Gallo/P. Miller Top IS Execs </t>
  </si>
  <si>
    <t xml:space="preserve"> Bear Stearns &amp; Cos. Inc.</t>
  </si>
  <si>
    <t xml:space="preserve">W. Ben Keunemann Sr. Managing Dir. </t>
  </si>
  <si>
    <t xml:space="preserve"> Cyprus Amax Minerals Co.</t>
  </si>
  <si>
    <t xml:space="preserve">Dennis Gaul Dir./MIS </t>
  </si>
  <si>
    <t xml:space="preserve"> Continental Grain Co.</t>
  </si>
  <si>
    <t xml:space="preserve">Keith Johnson VP/IT </t>
  </si>
  <si>
    <t xml:space="preserve"> Ethyl Corp.</t>
  </si>
  <si>
    <t xml:space="preserve">Michael Giesler Dir./IS </t>
  </si>
  <si>
    <t xml:space="preserve"> MediaNews Group Inc.</t>
  </si>
  <si>
    <t xml:space="preserve">Michael Fluke VP </t>
  </si>
  <si>
    <t xml:space="preserve"> Pulte Corp.</t>
  </si>
  <si>
    <t xml:space="preserve">Barbara Schlatterbeck Mgr./MIS </t>
  </si>
  <si>
    <t xml:space="preserve"> Reynolds and Reynolds Co.</t>
  </si>
  <si>
    <t xml:space="preserve">Michael J. Gapinski Tres. </t>
  </si>
  <si>
    <t xml:space="preserve"> Air Products and Chemicals Inc.</t>
  </si>
  <si>
    <t xml:space="preserve">Peter Mather VP/MIS </t>
  </si>
  <si>
    <t xml:space="preserve"> Land O' Lakes Inc.</t>
  </si>
  <si>
    <t xml:space="preserve"> Niagrara Mohawk Power Corp.</t>
  </si>
  <si>
    <t xml:space="preserve">William Synwoldt CIO </t>
  </si>
  <si>
    <t>Ind.</t>
  </si>
  <si>
    <t>Total emp.</t>
  </si>
  <si>
    <t>IS emp.</t>
  </si>
  <si>
    <t>IWstar</t>
  </si>
  <si>
    <t>MIT</t>
  </si>
  <si>
    <t>Obs.</t>
  </si>
  <si>
    <t xml:space="preserve">AT&amp;T </t>
  </si>
  <si>
    <t xml:space="preserve">General Electric Co. </t>
  </si>
  <si>
    <t xml:space="preserve">General Motors Corp. </t>
  </si>
  <si>
    <t xml:space="preserve">Columbia HCA Healthcare Corp. </t>
  </si>
  <si>
    <t xml:space="preserve">IBM </t>
  </si>
  <si>
    <t xml:space="preserve">Lockheed Martin Corp. </t>
  </si>
  <si>
    <t xml:space="preserve">GTE Corp. </t>
  </si>
  <si>
    <t xml:space="preserve">ITT Corp. </t>
  </si>
  <si>
    <t xml:space="preserve">AlliedSignal Inc. </t>
  </si>
  <si>
    <t xml:space="preserve">Ford Motor Co. </t>
  </si>
  <si>
    <t xml:space="preserve">Kmart Corp. [ISWest] </t>
  </si>
  <si>
    <t xml:space="preserve">Digital Equipment Corp. </t>
  </si>
  <si>
    <t xml:space="preserve">EDS Corp. </t>
  </si>
  <si>
    <t xml:space="preserve">Hewlett-Packard Co. </t>
  </si>
  <si>
    <t xml:space="preserve">E.I. du Pont de Nemours &amp; Co. </t>
  </si>
  <si>
    <t xml:space="preserve">Westinghouse Electric Corp. </t>
  </si>
  <si>
    <t xml:space="preserve">Emerson Electric Co. </t>
  </si>
  <si>
    <t xml:space="preserve">Automatic Data Processing Inc. </t>
  </si>
  <si>
    <t xml:space="preserve">Rockwell International Corp </t>
  </si>
  <si>
    <t xml:space="preserve">Xerox Corp. </t>
  </si>
  <si>
    <t xml:space="preserve">United Technologies Corp. </t>
  </si>
  <si>
    <t xml:space="preserve">Unisys Corp. </t>
  </si>
  <si>
    <t xml:space="preserve">Philip Morris Cos. Inc. </t>
  </si>
  <si>
    <t xml:space="preserve">Textron Inc. </t>
  </si>
  <si>
    <t xml:space="preserve">Gannett Co. Inc. </t>
  </si>
  <si>
    <t xml:space="preserve">Dun &amp; Bradstreet Corp. </t>
  </si>
  <si>
    <t xml:space="preserve">International Paper Co. </t>
  </si>
  <si>
    <t xml:space="preserve">Ernst &amp; Young </t>
  </si>
  <si>
    <t xml:space="preserve">Raytheon Co. </t>
  </si>
  <si>
    <t xml:space="preserve">Deloitte &amp; Touche </t>
  </si>
  <si>
    <t xml:space="preserve">Sears Roebuck and Co. [ISWest] </t>
  </si>
  <si>
    <t xml:space="preserve">Eaton Corp. </t>
  </si>
  <si>
    <t xml:space="preserve">Computer Sciences Corp. </t>
  </si>
  <si>
    <t xml:space="preserve">TRW Inc. </t>
  </si>
  <si>
    <t xml:space="preserve">Cooper Industries Inc. </t>
  </si>
  <si>
    <t xml:space="preserve">Sprint Corp. </t>
  </si>
  <si>
    <t xml:space="preserve">Chevron Corp. </t>
  </si>
  <si>
    <t xml:space="preserve">American Home Products Corp. </t>
  </si>
  <si>
    <t xml:space="preserve">Weyerhaeuser Co. </t>
  </si>
  <si>
    <t xml:space="preserve">Arthur Andersen/Andersen Consult. </t>
  </si>
  <si>
    <t xml:space="preserve">KPMG Peat Marwick </t>
  </si>
  <si>
    <t xml:space="preserve">Banc One Corp. </t>
  </si>
  <si>
    <t xml:space="preserve">Georgia Pacific Corp. </t>
  </si>
  <si>
    <t xml:space="preserve">Hanson Industries </t>
  </si>
  <si>
    <t xml:space="preserve">Prudential Insurance Co. </t>
  </si>
  <si>
    <t xml:space="preserve">Texaco Inc. </t>
  </si>
  <si>
    <t xml:space="preserve">Amoco Corp. </t>
  </si>
  <si>
    <t xml:space="preserve">ConAgra Inc. </t>
  </si>
  <si>
    <t xml:space="preserve">Penn Traffic Co. [ISWest] </t>
  </si>
  <si>
    <t xml:space="preserve">Honeywell Inc. </t>
  </si>
  <si>
    <t xml:space="preserve">Tenneco Inc. </t>
  </si>
  <si>
    <t xml:space="preserve">Food Lion Inc. </t>
  </si>
  <si>
    <t xml:space="preserve">Ingersoll Rand Co. </t>
  </si>
  <si>
    <t xml:space="preserve">Teledyne Inc. </t>
  </si>
  <si>
    <t xml:space="preserve">Johnson &amp; Johnson </t>
  </si>
  <si>
    <t xml:space="preserve">Toys R Us Inc. [ISWest] </t>
  </si>
  <si>
    <t xml:space="preserve">PepsiCo Inc. </t>
  </si>
  <si>
    <t xml:space="preserve">Tenet Healthcare Corp. </t>
  </si>
  <si>
    <t xml:space="preserve">Citicorp </t>
  </si>
  <si>
    <t xml:space="preserve">Price Waterhouse LLP </t>
  </si>
  <si>
    <t xml:space="preserve">Coopers &amp; Lybrand </t>
  </si>
  <si>
    <t xml:space="preserve">BankAmerica Corp. </t>
  </si>
  <si>
    <t xml:space="preserve">Time Warner Inc. </t>
  </si>
  <si>
    <t xml:space="preserve">Anheuser Busch Cos. Inc. </t>
  </si>
  <si>
    <t xml:space="preserve">MCI Communications Corp. </t>
  </si>
  <si>
    <t xml:space="preserve">United Parcel Service </t>
  </si>
  <si>
    <t xml:space="preserve">Motorola Inc. </t>
  </si>
  <si>
    <t xml:space="preserve">Cigna Corp. </t>
  </si>
  <si>
    <t xml:space="preserve">Aluminum Co. of America </t>
  </si>
  <si>
    <t xml:space="preserve">Dana Corp. </t>
  </si>
  <si>
    <t xml:space="preserve">Viacom International Inc. </t>
  </si>
  <si>
    <t xml:space="preserve">Northrop Grumman Corp. </t>
  </si>
  <si>
    <t xml:space="preserve">Sysco Corp. </t>
  </si>
  <si>
    <t xml:space="preserve">WMX Technologies Inc. </t>
  </si>
  <si>
    <t xml:space="preserve">Corning Inc. </t>
  </si>
  <si>
    <t xml:space="preserve">Loral Corp. </t>
  </si>
  <si>
    <t xml:space="preserve">Science Applications Int'l </t>
  </si>
  <si>
    <t xml:space="preserve">USX Corp. </t>
  </si>
  <si>
    <t xml:space="preserve">Johnson Controls Inc. </t>
  </si>
  <si>
    <t xml:space="preserve">James River Corp. </t>
  </si>
  <si>
    <t xml:space="preserve">Chrysler Corp. </t>
  </si>
  <si>
    <t xml:space="preserve">Sara Lee Corp. </t>
  </si>
  <si>
    <t xml:space="preserve">Bell Atlantic Corp. </t>
  </si>
  <si>
    <t xml:space="preserve">Marmon Group Inc. </t>
  </si>
  <si>
    <t xml:space="preserve">Cox Enterprises Inc. </t>
  </si>
  <si>
    <t xml:space="preserve">NationsBank Corp. </t>
  </si>
  <si>
    <t xml:space="preserve">Boeing Co. </t>
  </si>
  <si>
    <t xml:space="preserve">Chemical Banking Corp. </t>
  </si>
  <si>
    <t xml:space="preserve">Mobil Corp. </t>
  </si>
  <si>
    <t xml:space="preserve">Fleet Financial Group </t>
  </si>
  <si>
    <t xml:space="preserve">Times Mirror Co. </t>
  </si>
  <si>
    <t xml:space="preserve">Parker Hannifin Corp. </t>
  </si>
  <si>
    <t xml:space="preserve">Cargill Inc. </t>
  </si>
  <si>
    <t xml:space="preserve">Exxon Corp. </t>
  </si>
  <si>
    <t xml:space="preserve">Minnesota Mining and Mfg. Co. </t>
  </si>
  <si>
    <t xml:space="preserve">Monsanto Co. </t>
  </si>
  <si>
    <t xml:space="preserve">Capital Cities/ABC Inc. </t>
  </si>
  <si>
    <t xml:space="preserve">Dow Chemical Co. </t>
  </si>
  <si>
    <t xml:space="preserve">JC Penney Co. Inc. </t>
  </si>
  <si>
    <t xml:space="preserve">Litton Industries Inc. </t>
  </si>
  <si>
    <t xml:space="preserve">Marsh &amp; McLennan Cos. Inc. </t>
  </si>
  <si>
    <t xml:space="preserve">Black &amp; Decker Corp. </t>
  </si>
  <si>
    <t xml:space="preserve">WR Grace &amp; Co. </t>
  </si>
  <si>
    <t xml:space="preserve">RR Donnelley &amp; Sons Co. </t>
  </si>
  <si>
    <t xml:space="preserve">PPG Industries Inc. </t>
  </si>
  <si>
    <t xml:space="preserve">Tandem Computers Inc. </t>
  </si>
  <si>
    <t xml:space="preserve">FMC Corp. </t>
  </si>
  <si>
    <t xml:space="preserve">Hoechst Celanese Corp. </t>
  </si>
  <si>
    <t xml:space="preserve">Aramark Group Inc. [ISWest] </t>
  </si>
  <si>
    <t xml:space="preserve">Southern Co. </t>
  </si>
  <si>
    <t xml:space="preserve">Deere &amp; Co. </t>
  </si>
  <si>
    <t xml:space="preserve">Metropolitan Life Insurance Co. </t>
  </si>
  <si>
    <t xml:space="preserve">Nabisco Inc. </t>
  </si>
  <si>
    <t xml:space="preserve">Ameritech Corp. </t>
  </si>
  <si>
    <t xml:space="preserve">Harris Corp. </t>
  </si>
  <si>
    <t xml:space="preserve">Key Corp. </t>
  </si>
  <si>
    <t xml:space="preserve">The Kroger Co. [ISWest] </t>
  </si>
  <si>
    <t xml:space="preserve">Baxter International Inc. </t>
  </si>
  <si>
    <t xml:space="preserve">Knight-Ridder Inc. </t>
  </si>
  <si>
    <t xml:space="preserve">Masco Corp. </t>
  </si>
  <si>
    <t xml:space="preserve">SBC Communications </t>
  </si>
  <si>
    <t xml:space="preserve">Miles Inc. </t>
  </si>
  <si>
    <t xml:space="preserve">BASF Corp. </t>
  </si>
  <si>
    <t xml:space="preserve">McDonnell Douglas Corp. </t>
  </si>
  <si>
    <t xml:space="preserve">Norwest Corp. </t>
  </si>
  <si>
    <t xml:space="preserve">McGraw-Hill Inc. </t>
  </si>
  <si>
    <t xml:space="preserve">H Group Holding Inc. </t>
  </si>
  <si>
    <t xml:space="preserve">Albertson's Inc. [ISWest] </t>
  </si>
  <si>
    <t xml:space="preserve">Shell Oil Co. </t>
  </si>
  <si>
    <t xml:space="preserve">Merrill Lynch &amp; Co. Inc. </t>
  </si>
  <si>
    <t xml:space="preserve">Atlantic Richfield Co. </t>
  </si>
  <si>
    <t xml:space="preserve">BellSouth Corp. </t>
  </si>
  <si>
    <t xml:space="preserve">Meijer Inc. [ISWest] </t>
  </si>
  <si>
    <t xml:space="preserve">Pittston Co. </t>
  </si>
  <si>
    <t xml:space="preserve">Alco Standard Corp. </t>
  </si>
  <si>
    <t xml:space="preserve">Eastman Kodak Co. </t>
  </si>
  <si>
    <t xml:space="preserve">Stone Container Corp. </t>
  </si>
  <si>
    <t xml:space="preserve">Genuine Parts Co. </t>
  </si>
  <si>
    <t xml:space="preserve">Olin Corp. </t>
  </si>
  <si>
    <t xml:space="preserve">Advance Publications Inc. </t>
  </si>
  <si>
    <t xml:space="preserve">Unocal Corp. </t>
  </si>
  <si>
    <t xml:space="preserve">Alltel Corp. </t>
  </si>
  <si>
    <t xml:space="preserve">Dow Jones &amp; Co. Inc. </t>
  </si>
  <si>
    <t xml:space="preserve">Halliburton Co. </t>
  </si>
  <si>
    <t xml:space="preserve">Temple-Inland Forest Prod Corp </t>
  </si>
  <si>
    <t xml:space="preserve">Occidental Petroleum Corp. </t>
  </si>
  <si>
    <t xml:space="preserve">BF Goodrich Co. </t>
  </si>
  <si>
    <t xml:space="preserve">Texas Instruments Inc. </t>
  </si>
  <si>
    <t xml:space="preserve">State Farm Life Insurance Co. </t>
  </si>
  <si>
    <t xml:space="preserve">First Interstate Bancorp </t>
  </si>
  <si>
    <t xml:space="preserve">Mead Corp. </t>
  </si>
  <si>
    <t xml:space="preserve">American Express Co. </t>
  </si>
  <si>
    <t xml:space="preserve">Hearst Corp. </t>
  </si>
  <si>
    <t xml:space="preserve">Union Camp Corp. </t>
  </si>
  <si>
    <t xml:space="preserve">Cummins Engine Co. Inc. </t>
  </si>
  <si>
    <t xml:space="preserve">First Chicago Corp. </t>
  </si>
  <si>
    <t xml:space="preserve">Caterpillar Inc. </t>
  </si>
  <si>
    <t xml:space="preserve">American Brands Inc. </t>
  </si>
  <si>
    <t xml:space="preserve">Pacific Gas &amp; Electric Co. </t>
  </si>
  <si>
    <t xml:space="preserve">Barnett Banks Inc. </t>
  </si>
  <si>
    <t xml:space="preserve">Jefferson Smurfit Corp. </t>
  </si>
  <si>
    <t xml:space="preserve">American International Group </t>
  </si>
  <si>
    <t xml:space="preserve">EG&amp;G Inc. </t>
  </si>
  <si>
    <t xml:space="preserve">SunTrust Bank Inc. </t>
  </si>
  <si>
    <t xml:space="preserve">Fleming Co. Inc. </t>
  </si>
  <si>
    <t xml:space="preserve">Ashland Inc. </t>
  </si>
  <si>
    <t xml:space="preserve">Goodyear Tire &amp; Rubber Co. </t>
  </si>
  <si>
    <t xml:space="preserve">Coastal Corp. </t>
  </si>
  <si>
    <t xml:space="preserve">Bristol-Myers Squibb Co. </t>
  </si>
  <si>
    <t xml:space="preserve">Travelers Inc. </t>
  </si>
  <si>
    <t xml:space="preserve">Alumax Inc. </t>
  </si>
  <si>
    <t xml:space="preserve">Dover Corp. </t>
  </si>
  <si>
    <t xml:space="preserve">Commonwealth Energy Systems </t>
  </si>
  <si>
    <t xml:space="preserve">Ogden Corp. </t>
  </si>
  <si>
    <t xml:space="preserve">Publix Super Markets Inc. </t>
  </si>
  <si>
    <t xml:space="preserve">Owens Illinois Inc. </t>
  </si>
  <si>
    <t xml:space="preserve">Aon Corp. </t>
  </si>
  <si>
    <t xml:space="preserve">Johnson &amp; Higgins </t>
  </si>
  <si>
    <t xml:space="preserve">US West Communications Inc. </t>
  </si>
  <si>
    <t xml:space="preserve">Avery Dennison Corp. </t>
  </si>
  <si>
    <t xml:space="preserve">Dresser Industries Inc. </t>
  </si>
  <si>
    <t xml:space="preserve">Supervalu Inc. </t>
  </si>
  <si>
    <t xml:space="preserve">GenCorp Inc. </t>
  </si>
  <si>
    <t xml:space="preserve">Quaker Oats Co. </t>
  </si>
  <si>
    <t xml:space="preserve">National Service Industries </t>
  </si>
  <si>
    <t xml:space="preserve">Sun Microsystems Inc. </t>
  </si>
  <si>
    <t xml:space="preserve">Tektronix Inc. </t>
  </si>
  <si>
    <t xml:space="preserve">General Signal Corp. </t>
  </si>
  <si>
    <t xml:space="preserve">PacifiCorp </t>
  </si>
  <si>
    <t xml:space="preserve">Avnet Inc. [ISWest] </t>
  </si>
  <si>
    <t xml:space="preserve">Owens Corning Inc. </t>
  </si>
  <si>
    <t xml:space="preserve">Tyco International Ltd. </t>
  </si>
  <si>
    <t xml:space="preserve">New York Life Insurance Co. </t>
  </si>
  <si>
    <t xml:space="preserve">Aetna Life and Casualty Co. </t>
  </si>
  <si>
    <t xml:space="preserve">Baker Hughes Inc. </t>
  </si>
  <si>
    <t xml:space="preserve">Eli Lilly and Co. </t>
  </si>
  <si>
    <t xml:space="preserve">Coca-Cola Enterprises Inc. </t>
  </si>
  <si>
    <t xml:space="preserve">EW Scripps Co. </t>
  </si>
  <si>
    <t xml:space="preserve">Chase Manhattan Corp. </t>
  </si>
  <si>
    <t xml:space="preserve">Sequa Corp. </t>
  </si>
  <si>
    <t xml:space="preserve">Mark IV Industries Inc. </t>
  </si>
  <si>
    <t xml:space="preserve">McDermott International Inc. </t>
  </si>
  <si>
    <t xml:space="preserve">The Stanley Works </t>
  </si>
  <si>
    <t xml:space="preserve">Magnetek Inc. </t>
  </si>
  <si>
    <t xml:space="preserve">Ralston Purina Co. </t>
  </si>
  <si>
    <t xml:space="preserve">Harnischfeger Industries Inc. </t>
  </si>
  <si>
    <t xml:space="preserve">Alexander &amp; Alexander Services </t>
  </si>
  <si>
    <t xml:space="preserve">Intergraph Corp. </t>
  </si>
  <si>
    <t xml:space="preserve">Scott Paper Co. </t>
  </si>
  <si>
    <t xml:space="preserve">First Union Corp. </t>
  </si>
  <si>
    <t xml:space="preserve">Tyson Foods Inc. </t>
  </si>
  <si>
    <t xml:space="preserve">Alleghany Corp. </t>
  </si>
  <si>
    <t xml:space="preserve">Loews Corp. </t>
  </si>
  <si>
    <t xml:space="preserve">Wang Laboratories Inc. </t>
  </si>
  <si>
    <t xml:space="preserve">Union Pacific Corp. </t>
  </si>
  <si>
    <t xml:space="preserve">Reynolds Metals Co. </t>
  </si>
  <si>
    <t xml:space="preserve">Continental Corp. </t>
  </si>
  <si>
    <t xml:space="preserve">Champion International Corp. </t>
  </si>
  <si>
    <t xml:space="preserve">Mellon Bank Corp. </t>
  </si>
  <si>
    <t xml:space="preserve">Boatmens Bancshares Inc. </t>
  </si>
  <si>
    <t xml:space="preserve">Trinova Corp. </t>
  </si>
  <si>
    <t xml:space="preserve">Sverdrup Corp. </t>
  </si>
  <si>
    <t xml:space="preserve">Deluxe Corp. </t>
  </si>
  <si>
    <t xml:space="preserve">Berkshire Hathaway Inc. </t>
  </si>
  <si>
    <t xml:space="preserve">Manville Corp. </t>
  </si>
  <si>
    <t xml:space="preserve">Springs Industries Inc. </t>
  </si>
  <si>
    <t xml:space="preserve">VF Corp. </t>
  </si>
  <si>
    <t xml:space="preserve">Host Marriott Corp. </t>
  </si>
  <si>
    <t xml:space="preserve">Campbell Soup Co. </t>
  </si>
  <si>
    <t xml:space="preserve">Phillips Petroleum Co. </t>
  </si>
  <si>
    <t xml:space="preserve">Hercules Inc. </t>
  </si>
  <si>
    <t xml:space="preserve">Procter &amp; Gamble Co. </t>
  </si>
  <si>
    <t xml:space="preserve">Westvaco Corp. </t>
  </si>
  <si>
    <t xml:space="preserve">Gaylord Container Corp. </t>
  </si>
  <si>
    <t xml:space="preserve">Boise Cascade Corp. </t>
  </si>
  <si>
    <t xml:space="preserve">First Financial Management Corp. </t>
  </si>
  <si>
    <t xml:space="preserve">Whirlpool Corp. </t>
  </si>
  <si>
    <t xml:space="preserve">Coltec Industries Inc. </t>
  </si>
  <si>
    <t xml:space="preserve">Data General Corp. </t>
  </si>
  <si>
    <t xml:space="preserve">New York Times Co. </t>
  </si>
  <si>
    <t xml:space="preserve">Insilco Corp. </t>
  </si>
  <si>
    <t xml:space="preserve">National City Corp. </t>
  </si>
  <si>
    <t xml:space="preserve">Safeway Inc. </t>
  </si>
  <si>
    <t xml:space="preserve">USG Corp. </t>
  </si>
  <si>
    <t xml:space="preserve">Entergy Corp. </t>
  </si>
  <si>
    <t xml:space="preserve">Federated Department Stores Inc. [ISWest] </t>
  </si>
  <si>
    <t xml:space="preserve">Merck &amp; Co. Inc. </t>
  </si>
  <si>
    <t xml:space="preserve">Nynex Corp. </t>
  </si>
  <si>
    <t xml:space="preserve">H.J. Heinz Co. </t>
  </si>
  <si>
    <t xml:space="preserve">First Bank System Inc. </t>
  </si>
  <si>
    <t xml:space="preserve">Tribune Co. </t>
  </si>
  <si>
    <t xml:space="preserve">Snap On Inc. </t>
  </si>
  <si>
    <t xml:space="preserve">Phelps Dodge Corp. </t>
  </si>
  <si>
    <t xml:space="preserve">The Dial Corp </t>
  </si>
  <si>
    <t xml:space="preserve">Paccar Inc. </t>
  </si>
  <si>
    <t xml:space="preserve">Bechtel Group Inc. </t>
  </si>
  <si>
    <t xml:space="preserve">Abbott Laboratories </t>
  </si>
  <si>
    <t xml:space="preserve">SPX Corp. </t>
  </si>
  <si>
    <t xml:space="preserve">Parsons Corp. </t>
  </si>
  <si>
    <t xml:space="preserve">Reliance Electric Co. </t>
  </si>
  <si>
    <t xml:space="preserve">Continental Cablevision Inc. </t>
  </si>
  <si>
    <t xml:space="preserve">McKesson Corp. [ISWest] </t>
  </si>
  <si>
    <t xml:space="preserve">PaineWebber Group Inc. </t>
  </si>
  <si>
    <t xml:space="preserve">Echlin Inc. </t>
  </si>
  <si>
    <t xml:space="preserve">Armco Inc. </t>
  </si>
  <si>
    <t xml:space="preserve">Melville Corp. [ISWest] </t>
  </si>
  <si>
    <t xml:space="preserve">First of America Bank Corp. </t>
  </si>
  <si>
    <t xml:space="preserve">MascoTech Inc. </t>
  </si>
  <si>
    <t xml:space="preserve">Simpson Investment Co. </t>
  </si>
  <si>
    <t xml:space="preserve">Union Carbide Corp. </t>
  </si>
  <si>
    <t xml:space="preserve">Timken Co. </t>
  </si>
  <si>
    <t xml:space="preserve">Pfizer Inc. </t>
  </si>
  <si>
    <t xml:space="preserve">Day &amp; Zimmermann Inc. </t>
  </si>
  <si>
    <t xml:space="preserve">Omnicom Group Inc. </t>
  </si>
  <si>
    <t xml:space="preserve">May Department Stores Co. [ISWest] </t>
  </si>
  <si>
    <t xml:space="preserve">Mars Inc. </t>
  </si>
  <si>
    <t xml:space="preserve">Wal-Mart Stores Inc. </t>
  </si>
  <si>
    <t xml:space="preserve">Federal-Mogul Corp. </t>
  </si>
  <si>
    <t xml:space="preserve">Ryder System Inc. </t>
  </si>
  <si>
    <t xml:space="preserve">Pitney Bowes Inc. </t>
  </si>
  <si>
    <t xml:space="preserve">PNC Bank Corp. </t>
  </si>
  <si>
    <t xml:space="preserve">Rhone-Poulenc Rorer Inc. </t>
  </si>
  <si>
    <t xml:space="preserve">Milliken &amp; Co. </t>
  </si>
  <si>
    <t xml:space="preserve">Gates Corp. </t>
  </si>
  <si>
    <t xml:space="preserve">Intel Corp. </t>
  </si>
  <si>
    <t xml:space="preserve">Roadway Services Inc. </t>
  </si>
  <si>
    <t xml:space="preserve">Kemper Corp. </t>
  </si>
  <si>
    <t xml:space="preserve">Navistar International Corp. </t>
  </si>
  <si>
    <t xml:space="preserve">NBD Bancorp Inc. </t>
  </si>
  <si>
    <t xml:space="preserve">Borden Inc. </t>
  </si>
  <si>
    <t xml:space="preserve">Great American Mgmt. Investment </t>
  </si>
  <si>
    <t xml:space="preserve">Armstrong World Industries Inc. </t>
  </si>
  <si>
    <t xml:space="preserve">Levi Strauss Associates Inc. </t>
  </si>
  <si>
    <t xml:space="preserve">American Financial Corp. </t>
  </si>
  <si>
    <t xml:space="preserve">Becton Dickinson &amp; Co. </t>
  </si>
  <si>
    <t xml:space="preserve">Bemis Co. Inc. </t>
  </si>
  <si>
    <t xml:space="preserve">E Systems Inc. </t>
  </si>
  <si>
    <t xml:space="preserve">Harsco Corp. </t>
  </si>
  <si>
    <t xml:space="preserve">CSX Corp. </t>
  </si>
  <si>
    <t xml:space="preserve">Morton International Inc. </t>
  </si>
  <si>
    <t xml:space="preserve">ClubCorp International </t>
  </si>
  <si>
    <t xml:space="preserve">Mac Andrews &amp; Forbes Holdings </t>
  </si>
  <si>
    <t xml:space="preserve">First Security Info. Technology </t>
  </si>
  <si>
    <t xml:space="preserve">Duke Power Co. </t>
  </si>
  <si>
    <t xml:space="preserve">Colgate-Palmolive Co. </t>
  </si>
  <si>
    <t xml:space="preserve">Premark International Inc. </t>
  </si>
  <si>
    <t xml:space="preserve">Gold Kist Inc. </t>
  </si>
  <si>
    <t xml:space="preserve">Freedom Communications </t>
  </si>
  <si>
    <t xml:space="preserve">PHH Corp. </t>
  </si>
  <si>
    <t xml:space="preserve">Vulcan Materials Co. </t>
  </si>
  <si>
    <t xml:space="preserve">Arvin Industries Inc. </t>
  </si>
  <si>
    <t xml:space="preserve">Thermo Electron Corp. </t>
  </si>
  <si>
    <t xml:space="preserve">Sonoco Products Co. </t>
  </si>
  <si>
    <t xml:space="preserve">Inland Steel Industries Inc. </t>
  </si>
  <si>
    <t xml:space="preserve">Consolidated Edison Co. of N.Y. </t>
  </si>
  <si>
    <t xml:space="preserve">CPC International Inc. </t>
  </si>
  <si>
    <t xml:space="preserve">Kimberly-Clark Corp. </t>
  </si>
  <si>
    <t xml:space="preserve">St. Paul Cos. Inc. </t>
  </si>
  <si>
    <t xml:space="preserve">Jostens Inc. </t>
  </si>
  <si>
    <t xml:space="preserve">Illinois Tool Works Inc. </t>
  </si>
  <si>
    <t xml:space="preserve">Cabot Corp. </t>
  </si>
  <si>
    <t xml:space="preserve">Towers Perrin </t>
  </si>
  <si>
    <t xml:space="preserve">ServiceMaster Partnership </t>
  </si>
  <si>
    <t xml:space="preserve">AMP Inc. </t>
  </si>
  <si>
    <t xml:space="preserve">Northern States Power Co. </t>
  </si>
  <si>
    <t xml:space="preserve">Willamette Industries Inc. </t>
  </si>
  <si>
    <t xml:space="preserve">Asarco Inc. </t>
  </si>
  <si>
    <t xml:space="preserve">Imo Industries Inc. </t>
  </si>
  <si>
    <t xml:space="preserve">American Electric Power Co. </t>
  </si>
  <si>
    <t xml:space="preserve">Dayton Hudson Corp. </t>
  </si>
  <si>
    <t xml:space="preserve">Harcourt General Inc. </t>
  </si>
  <si>
    <t xml:space="preserve">American Standard Inc. </t>
  </si>
  <si>
    <t xml:space="preserve">Kaman Corp. </t>
  </si>
  <si>
    <t xml:space="preserve">Ball Corp. </t>
  </si>
  <si>
    <t xml:space="preserve">Norfolk Southern Corp. </t>
  </si>
  <si>
    <t xml:space="preserve">Rohm and Haas Co. </t>
  </si>
  <si>
    <t xml:space="preserve">Wells Fargo &amp; Co. </t>
  </si>
  <si>
    <t xml:space="preserve">Brunswick Corp. </t>
  </si>
  <si>
    <t xml:space="preserve">Burlington Northern Inc. </t>
  </si>
  <si>
    <t xml:space="preserve">Bank of Boston Corp. </t>
  </si>
  <si>
    <t xml:space="preserve">Yellow Corp. </t>
  </si>
  <si>
    <t xml:space="preserve">General Mills Inc. </t>
  </si>
  <si>
    <t xml:space="preserve">Cray Research Inc. </t>
  </si>
  <si>
    <t xml:space="preserve">Sammons Enterprises Inc. </t>
  </si>
  <si>
    <t xml:space="preserve">Collins &amp; Aikman Corp. </t>
  </si>
  <si>
    <t xml:space="preserve">Computer Associates Intl. Inc. </t>
  </si>
  <si>
    <t xml:space="preserve">Figgie International Inc. </t>
  </si>
  <si>
    <t xml:space="preserve">Young &amp; Rubicam Inc. </t>
  </si>
  <si>
    <t xml:space="preserve">Nacco Industries Inc. </t>
  </si>
  <si>
    <t xml:space="preserve">Comdisco Inc. </t>
  </si>
  <si>
    <t xml:space="preserve">Consolidated Natural Gas Co. </t>
  </si>
  <si>
    <t xml:space="preserve">Chubb Corp. </t>
  </si>
  <si>
    <t xml:space="preserve">Carolina Power and Light Co. </t>
  </si>
  <si>
    <t xml:space="preserve">American General Corp. </t>
  </si>
  <si>
    <t xml:space="preserve">Interpublic Group of Cos. </t>
  </si>
  <si>
    <t xml:space="preserve">Household International Inc. </t>
  </si>
  <si>
    <t xml:space="preserve">Kansas City Southern Industries </t>
  </si>
  <si>
    <t xml:space="preserve">Pacific Telesis Group </t>
  </si>
  <si>
    <t xml:space="preserve">Gillette Co. </t>
  </si>
  <si>
    <t xml:space="preserve">Winn-Dixie Stores Inc. [ISWest] </t>
  </si>
  <si>
    <t xml:space="preserve">Firstar Corp. </t>
  </si>
  <si>
    <t xml:space="preserve">Dean Foods Co. </t>
  </si>
  <si>
    <t xml:space="preserve">Crown Cork &amp; Seal Co. Inc. </t>
  </si>
  <si>
    <t xml:space="preserve">Sundstrand Corp. </t>
  </si>
  <si>
    <t xml:space="preserve">Seagate Technology Inc. </t>
  </si>
  <si>
    <t xml:space="preserve">AMR Corp. </t>
  </si>
  <si>
    <t xml:space="preserve">Sherwin Williams Co. </t>
  </si>
  <si>
    <t xml:space="preserve">Florida Power &amp; Light Co. </t>
  </si>
  <si>
    <t xml:space="preserve">General Public Utilities Corp. </t>
  </si>
  <si>
    <t xml:space="preserve">Consolidated Freightways Inc. </t>
  </si>
  <si>
    <t xml:space="preserve">Cardinal Health Inc. </t>
  </si>
  <si>
    <t xml:space="preserve">Allmerica Financial Group </t>
  </si>
  <si>
    <t xml:space="preserve">JM Huber Corp. </t>
  </si>
  <si>
    <t xml:space="preserve">SCEcorp </t>
  </si>
  <si>
    <t xml:space="preserve">Foster Wheeler Corp. </t>
  </si>
  <si>
    <t xml:space="preserve">Old Republic International Corp. </t>
  </si>
  <si>
    <t xml:space="preserve">American Stores Co. </t>
  </si>
  <si>
    <t xml:space="preserve">Dole Food Co. Inc. </t>
  </si>
  <si>
    <t xml:space="preserve">Thiokol Corp. </t>
  </si>
  <si>
    <t xml:space="preserve">Schering-Plough Corp. </t>
  </si>
  <si>
    <t xml:space="preserve">Dean Witter Discover &amp; Co. </t>
  </si>
  <si>
    <t xml:space="preserve">TGI FridayÕs </t>
  </si>
  <si>
    <t xml:space="preserve">Liberty Mutual Group </t>
  </si>
  <si>
    <t xml:space="preserve">Interco Inc. </t>
  </si>
  <si>
    <t xml:space="preserve">Fluor Corp. </t>
  </si>
  <si>
    <t xml:space="preserve">Guardian Industries Corp. </t>
  </si>
  <si>
    <t xml:space="preserve">Great Western Financial Corp. </t>
  </si>
  <si>
    <t xml:space="preserve">Danaher Corp. </t>
  </si>
  <si>
    <t xml:space="preserve">Federal Express Corp. </t>
  </si>
  <si>
    <t xml:space="preserve">Varian Associates Inc. </t>
  </si>
  <si>
    <t xml:space="preserve">FHP International Corp. </t>
  </si>
  <si>
    <t xml:space="preserve">AO Smith Corp. </t>
  </si>
  <si>
    <t xml:space="preserve">Apple Computer Inc. </t>
  </si>
  <si>
    <t xml:space="preserve">Enron Corp. </t>
  </si>
  <si>
    <t xml:space="preserve">Mallinckrodt Group </t>
  </si>
  <si>
    <t xml:space="preserve">Shaw Industries Inc. </t>
  </si>
  <si>
    <t xml:space="preserve">Chesapeake Corp. </t>
  </si>
  <si>
    <t>First Tennessee National Corp</t>
  </si>
  <si>
    <t xml:space="preserve">Dominion Resources Inc. </t>
  </si>
  <si>
    <t xml:space="preserve">Pentair Inc. </t>
  </si>
  <si>
    <t xml:space="preserve">MA Hanna Corp. </t>
  </si>
  <si>
    <t>Marshall &amp; Ilsley Corp.</t>
  </si>
  <si>
    <t xml:space="preserve">Payless Cashways Inc. [ISWest] </t>
  </si>
  <si>
    <t xml:space="preserve">CR Bard Inc. </t>
  </si>
  <si>
    <t xml:space="preserve">Avon Products Inc. </t>
  </si>
  <si>
    <t xml:space="preserve">Nortek Inc. </t>
  </si>
  <si>
    <t xml:space="preserve">Whitman Corp. </t>
  </si>
  <si>
    <t xml:space="preserve">Ametek Inc. </t>
  </si>
  <si>
    <t xml:space="preserve">Travelers Insurance Co. </t>
  </si>
  <si>
    <t xml:space="preserve">Allegheny Power System Inc. </t>
  </si>
  <si>
    <t xml:space="preserve">K III Holdings </t>
  </si>
  <si>
    <t xml:space="preserve">Warner-Lambert Co. </t>
  </si>
  <si>
    <t xml:space="preserve">GATX Corp. </t>
  </si>
  <si>
    <t xml:space="preserve">Eagle Picher Industries Inc. </t>
  </si>
  <si>
    <t xml:space="preserve">Morrison Knudsen Corp. </t>
  </si>
  <si>
    <t xml:space="preserve">JR Simplot Co. </t>
  </si>
  <si>
    <t xml:space="preserve">Steelcase Inc. </t>
  </si>
  <si>
    <t xml:space="preserve">Maxxam Inc. </t>
  </si>
  <si>
    <t xml:space="preserve">Battelle Memorial Institute </t>
  </si>
  <si>
    <t xml:space="preserve">Kohler Co. </t>
  </si>
  <si>
    <t xml:space="preserve">Storage Technology Corp. </t>
  </si>
  <si>
    <t xml:space="preserve">USAir Group Inc. </t>
  </si>
  <si>
    <t xml:space="preserve">Central Soya Co. Inc. </t>
  </si>
  <si>
    <t xml:space="preserve">Harris Bankcorp Inc. </t>
  </si>
  <si>
    <t xml:space="preserve">LSI Logic Corp. </t>
  </si>
  <si>
    <t xml:space="preserve">John Hancock Mutual Life Ins Co. </t>
  </si>
  <si>
    <t xml:space="preserve">The Limited Inc. [ISWest] </t>
  </si>
  <si>
    <t xml:space="preserve">LTV Steel Co. </t>
  </si>
  <si>
    <t xml:space="preserve">Cincinnati Milacron Inc. </t>
  </si>
  <si>
    <t xml:space="preserve">Triarc Cos. Inc. </t>
  </si>
  <si>
    <t xml:space="preserve">Walt Disney Co. </t>
  </si>
  <si>
    <t xml:space="preserve">Houston Lighting &amp; Power Co. </t>
  </si>
  <si>
    <t xml:space="preserve">GAF Corp. </t>
  </si>
  <si>
    <t xml:space="preserve">Montgomery Ward &amp; Co. Inc. </t>
  </si>
  <si>
    <t xml:space="preserve">Pinnacle West Capital Corp. </t>
  </si>
  <si>
    <t xml:space="preserve">Amsted Industries Inc. </t>
  </si>
  <si>
    <t xml:space="preserve">CMS Energy Corp. </t>
  </si>
  <si>
    <t xml:space="preserve">Corestates Financial Corp. </t>
  </si>
  <si>
    <t xml:space="preserve">Equitable Life Assurance </t>
  </si>
  <si>
    <t xml:space="preserve">CBS Inc. </t>
  </si>
  <si>
    <t xml:space="preserve">Burlington Industries Inc. </t>
  </si>
  <si>
    <t xml:space="preserve">Itel Corp. </t>
  </si>
  <si>
    <t xml:space="preserve">WL Gore &amp; Associates Inc. </t>
  </si>
  <si>
    <t xml:space="preserve">Reliance Group Holdings Inc. </t>
  </si>
  <si>
    <t xml:space="preserve">Ingram Industries Inc. </t>
  </si>
  <si>
    <t xml:space="preserve">Farmland Industries Inc. </t>
  </si>
  <si>
    <t xml:space="preserve">Comerica Inc. </t>
  </si>
  <si>
    <t xml:space="preserve">Maytag Corp. </t>
  </si>
  <si>
    <t xml:space="preserve">Koch Industries Inc. </t>
  </si>
  <si>
    <t xml:space="preserve">Central &amp; South West Corp. </t>
  </si>
  <si>
    <t xml:space="preserve">Borg Warner Security Corp. </t>
  </si>
  <si>
    <t xml:space="preserve">First Data Corp. </t>
  </si>
  <si>
    <t xml:space="preserve">Crane Co. </t>
  </si>
  <si>
    <t xml:space="preserve">Meridian Bancorp Inc. </t>
  </si>
  <si>
    <t xml:space="preserve">Wachovia Corp. </t>
  </si>
  <si>
    <t xml:space="preserve">Sun Co. Inc. </t>
  </si>
  <si>
    <t xml:space="preserve">Public Service Enterprise Group </t>
  </si>
  <si>
    <t xml:space="preserve">Commercial Metals Co. </t>
  </si>
  <si>
    <t xml:space="preserve">McCormick &amp; Co. Inc. </t>
  </si>
  <si>
    <t xml:space="preserve">Bausch &amp; Lomb Inc. </t>
  </si>
  <si>
    <t xml:space="preserve">Transamerica Corp. </t>
  </si>
  <si>
    <t xml:space="preserve">Maritz Inc. </t>
  </si>
  <si>
    <t xml:space="preserve">Polaroid Corp. </t>
  </si>
  <si>
    <t xml:space="preserve">American President Cos. Inc. </t>
  </si>
  <si>
    <t xml:space="preserve">Herman Miller Inc. </t>
  </si>
  <si>
    <t xml:space="preserve">Lennox International Inc. </t>
  </si>
  <si>
    <t xml:space="preserve">Borg Warner Automotive Inc. </t>
  </si>
  <si>
    <t xml:space="preserve">Beckman Instruments Inc. </t>
  </si>
  <si>
    <t xml:space="preserve">MicroAge Inc. </t>
  </si>
  <si>
    <t xml:space="preserve">Fidelity Systems Co. </t>
  </si>
  <si>
    <t xml:space="preserve">Joseph E. Seagram &amp; Sons Inc. </t>
  </si>
  <si>
    <t xml:space="preserve">USF&amp;G Corp. </t>
  </si>
  <si>
    <t xml:space="preserve">US Bancorp of Oregon </t>
  </si>
  <si>
    <t xml:space="preserve">General Dynamics Corp. </t>
  </si>
  <si>
    <t xml:space="preserve">Hillenbrand Industries Inc. </t>
  </si>
  <si>
    <t xml:space="preserve">Kerr McGee Corp. </t>
  </si>
  <si>
    <t xml:space="preserve">Northeast Utilities Inc. </t>
  </si>
  <si>
    <t xml:space="preserve">Columbia Gas System Inc. </t>
  </si>
  <si>
    <t xml:space="preserve">Microsoft Corp. </t>
  </si>
  <si>
    <t xml:space="preserve">Medtronic Inc. </t>
  </si>
  <si>
    <t xml:space="preserve">Banta Corp. </t>
  </si>
  <si>
    <t xml:space="preserve">International Multifoods Corp. </t>
  </si>
  <si>
    <t xml:space="preserve">Detroit Edison Co. </t>
  </si>
  <si>
    <t xml:space="preserve">Washington Post Co. </t>
  </si>
  <si>
    <t xml:space="preserve">Booz Allen &amp; Hamilton Inc. </t>
  </si>
  <si>
    <t xml:space="preserve">Witco Corp. </t>
  </si>
  <si>
    <t xml:space="preserve">Journal Communications Inc. </t>
  </si>
  <si>
    <t xml:space="preserve">Woolworth Corp. [ISWest] </t>
  </si>
  <si>
    <t xml:space="preserve">Bankers Trust Co. </t>
  </si>
  <si>
    <t xml:space="preserve">JP Morgan &amp; Co. Inc. </t>
  </si>
  <si>
    <t xml:space="preserve">Bear Stearns &amp; Co. Inc. </t>
  </si>
  <si>
    <t xml:space="preserve">Cyprus Amax Minerals Co. </t>
  </si>
  <si>
    <t xml:space="preserve">Continental Grain Co. </t>
  </si>
  <si>
    <t xml:space="preserve">Ethyl Corp. </t>
  </si>
  <si>
    <t xml:space="preserve">MediaNews Group Inc. </t>
  </si>
  <si>
    <t xml:space="preserve">Pulte Corp. </t>
  </si>
  <si>
    <t xml:space="preserve">Reynolds and Reynolds Co. </t>
  </si>
  <si>
    <t xml:space="preserve">Air Products and Chemicals Inc. </t>
  </si>
  <si>
    <t xml:space="preserve">Land OÔ Lakes Inc. </t>
  </si>
  <si>
    <t xml:space="preserve">Niagrara Mohawk Power Corp. </t>
  </si>
  <si>
    <t>Aerospace</t>
  </si>
  <si>
    <t>Banking</t>
  </si>
  <si>
    <t>Chemicals</t>
  </si>
  <si>
    <t>Computers</t>
  </si>
  <si>
    <t>Consumer goods</t>
  </si>
  <si>
    <t>Electronics</t>
  </si>
  <si>
    <t>Energy</t>
  </si>
  <si>
    <t>Financial Services</t>
  </si>
  <si>
    <t>Food Processing</t>
  </si>
  <si>
    <t>Health Care</t>
  </si>
  <si>
    <t>Insurance</t>
  </si>
  <si>
    <t>Manufacturing</t>
  </si>
  <si>
    <t>Media</t>
  </si>
  <si>
    <t>Metals/Natural Resources</t>
  </si>
  <si>
    <t>Pharmaceuticals</t>
  </si>
  <si>
    <t>Professional Services</t>
  </si>
  <si>
    <t>Retail</t>
  </si>
  <si>
    <t>Telecommunications</t>
  </si>
  <si>
    <t>Transportation</t>
  </si>
  <si>
    <t>Utilities</t>
  </si>
  <si>
    <t>Industry</t>
  </si>
  <si>
    <t>RevenuesTrue</t>
  </si>
  <si>
    <t>IncomeTrue</t>
  </si>
  <si>
    <t>%Revenue_Budget</t>
  </si>
  <si>
    <t>%Income_Budget</t>
  </si>
  <si>
    <t>Curated</t>
  </si>
  <si>
    <t>?</t>
  </si>
  <si>
    <t>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</si>
</sst>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5" x14ac:knownFonts="1">
    <font>
      <sz val="8"/>
      <name val="Times New Roman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0" fontId="0" fillId="2" borderId="0" xfId="0" applyFill="1"/>
    <xf numFmtId="0" fontId="3" fillId="2" borderId="0" xfId="0" applyFont="1" applyFill="1"/>
    <xf numFmtId="49" fontId="0" fillId="2" borderId="0" xfId="0" applyNumberFormat="1" applyFill="1"/>
    <xf numFmtId="164" fontId="0" fillId="2" borderId="0" xfId="0" applyNumberFormat="1" applyFill="1"/>
    <xf numFmtId="0" fontId="1" fillId="0" borderId="0" xfId="0" applyFont="1" applyFill="1"/>
    <xf numFmtId="164" fontId="0" fillId="0" borderId="0" xfId="0" applyNumberFormat="1" applyFill="1"/>
    <xf numFmtId="0" fontId="0" fillId="0" borderId="0" xfId="0" applyFill="1"/>
    <xf numFmtId="10" fontId="0" fillId="2" borderId="0" xfId="1" applyNumberFormat="1" applyFont="1" applyFill="1"/>
    <xf numFmtId="10" fontId="0" fillId="2" borderId="0" xfId="0" applyNumberFormat="1" applyFill="1"/>
    <xf numFmtId="0" fontId="3" fillId="0" borderId="0" xfId="0" applyFont="1" applyFill="1"/>
    <xf numFmtId="49" fontId="0" fillId="0" borderId="0" xfId="0" applyNumberFormat="1" applyFill="1"/>
    <xf numFmtId="10" fontId="0" fillId="0" borderId="0" xfId="1" applyNumberFormat="1" applyFont="1" applyFill="1"/>
    <xf numFmtId="10" fontId="0" fillId="0" borderId="0" xfId="0" applyNumberFormat="1" applyFill="1"/>
    <xf numFmtId="0" fontId="4" fillId="2" borderId="0" xfId="0" applyFont="1" applyFill="1"/>
    <xf numFmtId="0" fontId="4" fillId="0" borderId="0" xfId="0" applyFont="1" applyFill="1"/>
    <xf numFmtId="0" fontId="0" fillId="3" borderId="0" xfId="0" applyFill="1"/>
    <xf numFmtId="0" fontId="3" fillId="3" borderId="0" xfId="0" applyFont="1" applyFill="1"/>
    <xf numFmtId="49" fontId="0" fillId="3" borderId="0" xfId="0" applyNumberFormat="1" applyFill="1"/>
    <xf numFmtId="164" fontId="0" fillId="3" borderId="0" xfId="0" applyNumberFormat="1" applyFill="1"/>
    <xf numFmtId="10" fontId="0" fillId="3" borderId="0" xfId="1" applyNumberFormat="1" applyFont="1" applyFill="1"/>
    <xf numFmtId="10" fontId="0" fillId="3" borderId="0" xfId="0" applyNumberFormat="1" applyFill="1"/>
    <xf numFmtId="0" fontId="0" fillId="4" borderId="0" xfId="0" applyFill="1"/>
    <xf numFmtId="0" fontId="3" fillId="4" borderId="0" xfId="0" applyFont="1" applyFill="1"/>
    <xf numFmtId="49" fontId="0" fillId="4" borderId="0" xfId="0" applyNumberFormat="1" applyFill="1"/>
    <xf numFmtId="164" fontId="0" fillId="4" borderId="0" xfId="0" applyNumberFormat="1" applyFill="1"/>
    <xf numFmtId="10" fontId="0" fillId="4" borderId="0" xfId="1" applyNumberFormat="1" applyFont="1" applyFill="1"/>
    <xf numFmtId="10" fontId="0" fillId="4" borderId="0" xfId="0" applyNumberForma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173676</xdr:colOff>
      <xdr:row>0</xdr:row>
      <xdr:rowOff>97445</xdr:rowOff>
    </xdr:from>
    <xdr:to>
      <xdr:col>33</xdr:col>
      <xdr:colOff>170819</xdr:colOff>
      <xdr:row>39</xdr:row>
      <xdr:rowOff>87406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30C985-5938-13D6-8411-AD9774E34BB9}"/>
            </a:ext>
          </a:extLst>
        </xdr:cNvPr>
        <xdr:cNvSpPr txBox="1"/>
      </xdr:nvSpPr>
      <xdr:spPr>
        <a:xfrm>
          <a:off x="14550076" y="97445"/>
          <a:ext cx="6664643" cy="59462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b="1"/>
            <a:t>Estimated companies:</a:t>
          </a:r>
        </a:p>
        <a:p>
          <a:endParaRPr lang="en-GB" b="1"/>
        </a:p>
        <a:p>
          <a:r>
            <a:rPr lang="en-GB" b="1"/>
            <a:t>Media:</a:t>
          </a:r>
          <a:r>
            <a:rPr lang="en-GB"/>
            <a:t> 		21/27 	77.78%</a:t>
          </a:r>
        </a:p>
        <a:p>
          <a:r>
            <a:rPr lang="en-GB" b="1"/>
            <a:t>Electronics:</a:t>
          </a:r>
          <a:r>
            <a:rPr lang="en-GB"/>
            <a:t> 		13/17  	76.47%</a:t>
          </a:r>
        </a:p>
        <a:p>
          <a:r>
            <a:rPr lang="en-GB" b="1"/>
            <a:t>Metals/Natural Resources:</a:t>
          </a:r>
          <a:r>
            <a:rPr lang="en-GB"/>
            <a:t> 	20/30  	66.67%</a:t>
          </a:r>
        </a:p>
        <a:p>
          <a:r>
            <a:rPr lang="en-GB" b="1"/>
            <a:t>Insurance:</a:t>
          </a:r>
          <a:r>
            <a:rPr lang="en-GB"/>
            <a:t> 		17/27  	62.96%</a:t>
          </a:r>
        </a:p>
        <a:p>
          <a:r>
            <a:rPr lang="en-GB" b="1"/>
            <a:t>Banking:</a:t>
          </a:r>
          <a:r>
            <a:rPr lang="en-GB"/>
            <a:t> 		21/35  	60.00%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Retail:</a:t>
          </a:r>
          <a:r>
            <a:rPr lang="en-GB"/>
            <a:t> 		16/27  	59.26%</a:t>
          </a:r>
        </a:p>
        <a:p>
          <a:r>
            <a:rPr lang="en-GB" b="1"/>
            <a:t>Manufacturing:</a:t>
          </a:r>
          <a:r>
            <a:rPr lang="en-GB"/>
            <a:t> 	49/87  	56.32%</a:t>
          </a:r>
        </a:p>
        <a:p>
          <a:r>
            <a:rPr lang="en-GB" b="1"/>
            <a:t>Consumer Goods:</a:t>
          </a:r>
          <a:r>
            <a:rPr lang="en-GB"/>
            <a:t> 	13/25  	52.00%</a:t>
          </a:r>
        </a:p>
        <a:p>
          <a:r>
            <a:rPr lang="en-GB" b="1"/>
            <a:t>Financial Services:</a:t>
          </a:r>
          <a:r>
            <a:rPr lang="en-GB"/>
            <a:t> 	7/14  	50.00%</a:t>
          </a:r>
        </a:p>
        <a:p>
          <a:r>
            <a:rPr lang="en-GB" b="1"/>
            <a:t>Food Processing:</a:t>
          </a:r>
          <a:r>
            <a:rPr lang="en-GB"/>
            <a:t> 	15/33 	45.45%</a:t>
          </a:r>
        </a:p>
        <a:p>
          <a:r>
            <a:rPr lang="en-GB" b="1"/>
            <a:t>Health Care:</a:t>
          </a:r>
          <a:r>
            <a:rPr lang="en-GB"/>
            <a:t> 		4/9  	44.44%</a:t>
          </a:r>
        </a:p>
        <a:p>
          <a:r>
            <a:rPr lang="en-GB" b="1"/>
            <a:t>Chemicals:</a:t>
          </a:r>
          <a:r>
            <a:rPr lang="en-GB"/>
            <a:t> 		8/18 	44.44%</a:t>
          </a:r>
        </a:p>
        <a:p>
          <a:r>
            <a:rPr lang="en-GB" b="1"/>
            <a:t>Aerospace:</a:t>
          </a:r>
          <a:r>
            <a:rPr lang="en-GB"/>
            <a:t> 		10/23 	43.48%</a:t>
          </a:r>
        </a:p>
        <a:p>
          <a:r>
            <a:rPr lang="en-GB" b="1"/>
            <a:t>Professional Services:</a:t>
          </a:r>
          <a:r>
            <a:rPr lang="en-GB"/>
            <a:t> 	8/19  	42.11%</a:t>
          </a:r>
        </a:p>
        <a:p>
          <a:r>
            <a:rPr lang="en-GB" b="1"/>
            <a:t>Telecom:</a:t>
          </a:r>
          <a:r>
            <a:rPr lang="en-GB"/>
            <a:t> 		5/12  	41.67%</a:t>
          </a:r>
        </a:p>
        <a:p>
          <a:r>
            <a:rPr lang="en-GB" b="1"/>
            <a:t>Pharmaceuticals:</a:t>
          </a:r>
          <a:r>
            <a:rPr lang="en-GB"/>
            <a:t> 	4/10  	40.00%</a:t>
          </a:r>
        </a:p>
        <a:p>
          <a:r>
            <a:rPr lang="en-GB" b="1"/>
            <a:t>Computers:</a:t>
          </a:r>
          <a:r>
            <a:rPr lang="en-GB"/>
            <a:t> 		10/25 	40.00%</a:t>
          </a:r>
        </a:p>
        <a:p>
          <a:r>
            <a:rPr lang="en-GB" b="1"/>
            <a:t>Energy:</a:t>
          </a:r>
          <a:r>
            <a:rPr lang="en-GB"/>
            <a:t> 		8/21  	38.10%</a:t>
          </a:r>
        </a:p>
        <a:p>
          <a:r>
            <a:rPr lang="en-GB" b="1"/>
            <a:t>Utilities:</a:t>
          </a:r>
          <a:r>
            <a:rPr lang="en-GB"/>
            <a:t> 		9/25  	36.00%</a:t>
          </a:r>
        </a:p>
        <a:p>
          <a:r>
            <a:rPr lang="en-GB" b="1"/>
            <a:t>Transportation:</a:t>
          </a:r>
          <a:r>
            <a:rPr lang="en-GB"/>
            <a:t> 	5/16  	31.25%</a:t>
          </a:r>
        </a:p>
        <a:p>
          <a:r>
            <a:rPr lang="en-GB" b="1"/>
            <a:t>Total: 		263/500 	52.60%</a:t>
          </a:r>
        </a:p>
        <a:p>
          <a:endParaRPr lang="en-GB"/>
        </a:p>
        <a:p>
          <a:r>
            <a:rPr lang="en-GB"/>
            <a:t>Most likely curated est. of total:	</a:t>
          </a:r>
          <a:r>
            <a:rPr lang="en-GB" b="1"/>
            <a:t>217 of 500 	43.4%</a:t>
          </a:r>
          <a:endParaRPr lang="en-GB"/>
        </a:p>
        <a:p>
          <a:r>
            <a:rPr lang="en-GB" b="1"/>
            <a:t>Most likely curated estimates:</a:t>
          </a:r>
          <a:r>
            <a:rPr lang="en-GB" b="1" baseline="0"/>
            <a:t> 	</a:t>
          </a:r>
          <a:r>
            <a:rPr lang="en-GB" b="1"/>
            <a:t>217 of 263	82.5%</a:t>
          </a:r>
          <a:endParaRPr lang="en-GB"/>
        </a:p>
        <a:p>
          <a:endParaRPr lang="en-GB"/>
        </a:p>
        <a:p>
          <a:r>
            <a:rPr lang="en-GB"/>
            <a:t>Missing</a:t>
          </a:r>
          <a:r>
            <a:rPr lang="en-GB" baseline="0"/>
            <a:t> significant data:	19 of 500	3.80%</a:t>
          </a:r>
        </a:p>
        <a:p>
          <a:endParaRPr lang="en-GB" baseline="0"/>
        </a:p>
        <a:p>
          <a:r>
            <a:rPr lang="en-GB" b="1" u="sng" baseline="0"/>
            <a:t>Total deemed invalid:	263 Estimated		_____</a:t>
          </a:r>
        </a:p>
        <a:p>
          <a:r>
            <a:rPr lang="en-GB" b="1" u="sng" baseline="0"/>
            <a:t>		19 Missing		</a:t>
          </a:r>
          <a:r>
            <a:rPr lang="en-NO" b="1" u="sng"/>
            <a:t>56.4%</a:t>
          </a:r>
          <a:r>
            <a:rPr lang="en-GB" baseline="0"/>
            <a:t>	</a:t>
          </a:r>
          <a:endParaRPr lang="en-GB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2"/>
  <sheetViews>
    <sheetView tabSelected="1" topLeftCell="I1" workbookViewId="0">
      <selection activeCell="I514" sqref="I514"/>
    </sheetView>
  </sheetViews>
  <sheetFormatPr baseColWidth="10" defaultColWidth="8.75" defaultRowHeight="12" x14ac:dyDescent="0.15"/>
  <cols>
    <col min="1" max="1" width="7.75" customWidth="1"/>
    <col min="2" max="2" width="9.5" customWidth="1"/>
    <col min="3" max="3" width="5.75" style="4" customWidth="1"/>
    <col min="4" max="4" width="23" bestFit="1" customWidth="1"/>
    <col min="5" max="5" width="32.5" customWidth="1"/>
    <col min="6" max="6" width="13" customWidth="1"/>
    <col min="7" max="7" width="22" style="13" customWidth="1"/>
    <col min="8" max="8" width="10.5" customWidth="1"/>
    <col min="9" max="9" width="22.75" style="13" customWidth="1"/>
    <col min="10" max="10" width="36.75" customWidth="1"/>
    <col min="11" max="11" width="22.75" customWidth="1"/>
    <col min="12" max="12" width="12.5" style="4" customWidth="1"/>
    <col min="13" max="13" width="9.25" style="4" customWidth="1"/>
    <col min="14" max="14" width="6.25" customWidth="1"/>
    <col min="15" max="15" width="22.75" bestFit="1" customWidth="1"/>
    <col min="16" max="16" width="21.25" bestFit="1" customWidth="1"/>
    <col min="17" max="17" width="10.5" bestFit="1" customWidth="1"/>
    <col min="18" max="18" width="16" bestFit="1" customWidth="1"/>
  </cols>
  <sheetData>
    <row r="1" spans="1:18" s="1" customFormat="1" ht="13" x14ac:dyDescent="0.15">
      <c r="A1" s="1" t="s">
        <v>0</v>
      </c>
      <c r="B1" s="1" t="s">
        <v>1</v>
      </c>
      <c r="C1" s="3" t="s">
        <v>964</v>
      </c>
      <c r="D1" s="1" t="s">
        <v>1490</v>
      </c>
      <c r="E1" s="1" t="s">
        <v>2</v>
      </c>
      <c r="F1" s="1" t="s">
        <v>3</v>
      </c>
      <c r="G1" s="11" t="s">
        <v>1491</v>
      </c>
      <c r="H1" s="1" t="s">
        <v>4</v>
      </c>
      <c r="I1" s="11" t="s">
        <v>1492</v>
      </c>
      <c r="J1" s="1" t="s">
        <v>5</v>
      </c>
      <c r="K1" s="1" t="s">
        <v>6</v>
      </c>
      <c r="L1" s="3" t="s">
        <v>965</v>
      </c>
      <c r="M1" s="3" t="s">
        <v>966</v>
      </c>
      <c r="N1" s="1" t="s">
        <v>7</v>
      </c>
      <c r="O1" s="1" t="s">
        <v>1493</v>
      </c>
      <c r="P1" s="1" t="s">
        <v>1494</v>
      </c>
      <c r="Q1" s="1" t="s">
        <v>1495</v>
      </c>
      <c r="R1" s="1" t="s">
        <v>1497</v>
      </c>
    </row>
    <row r="2" spans="1:18" x14ac:dyDescent="0.15">
      <c r="A2" s="13">
        <v>1</v>
      </c>
      <c r="B2" s="13">
        <v>47911</v>
      </c>
      <c r="C2" s="16">
        <v>18</v>
      </c>
      <c r="D2" s="17" t="s">
        <v>1487</v>
      </c>
      <c r="E2" s="17" t="s">
        <v>8</v>
      </c>
      <c r="F2" s="12">
        <v>75094</v>
      </c>
      <c r="G2" s="12">
        <f>F2*1000000</f>
        <v>75094000000</v>
      </c>
      <c r="H2" s="12">
        <v>4710</v>
      </c>
      <c r="I2" s="12">
        <f>H2*1000000</f>
        <v>4710000000</v>
      </c>
      <c r="J2" s="17" t="s">
        <v>9</v>
      </c>
      <c r="K2" s="12">
        <v>4000000000</v>
      </c>
      <c r="L2" s="4">
        <v>301700</v>
      </c>
      <c r="M2" s="4">
        <v>28376</v>
      </c>
      <c r="N2" s="13">
        <v>1</v>
      </c>
      <c r="O2" s="18">
        <f>K2/G2</f>
        <v>5.3266572562388474E-2</v>
      </c>
      <c r="P2" s="19">
        <f>K2/I2</f>
        <v>0.84925690021231426</v>
      </c>
      <c r="Q2" s="13"/>
    </row>
    <row r="3" spans="1:18" x14ac:dyDescent="0.15">
      <c r="A3" s="22">
        <v>2</v>
      </c>
      <c r="B3" s="22">
        <v>46169</v>
      </c>
      <c r="C3" s="23">
        <v>12</v>
      </c>
      <c r="D3" s="24" t="s">
        <v>1481</v>
      </c>
      <c r="E3" s="24" t="s">
        <v>10</v>
      </c>
      <c r="F3" s="25">
        <v>60108</v>
      </c>
      <c r="G3" s="25">
        <f>F3*1000000</f>
        <v>60108000000</v>
      </c>
      <c r="H3" s="25">
        <v>5915</v>
      </c>
      <c r="I3" s="25">
        <f>H3*1000000</f>
        <v>5915000000</v>
      </c>
      <c r="J3" s="24" t="s">
        <v>11</v>
      </c>
      <c r="K3" s="25">
        <v>758887916</v>
      </c>
      <c r="L3" s="23">
        <v>221000</v>
      </c>
      <c r="M3" s="23">
        <v>5171</v>
      </c>
      <c r="N3" s="22">
        <v>0</v>
      </c>
      <c r="O3" s="26">
        <f>K3/G3</f>
        <v>1.2625406202169428E-2</v>
      </c>
      <c r="P3" s="27">
        <f>K3/I3</f>
        <v>0.12829888689771768</v>
      </c>
      <c r="Q3" s="22" t="b">
        <v>1</v>
      </c>
    </row>
    <row r="4" spans="1:18" x14ac:dyDescent="0.15">
      <c r="A4" s="7">
        <v>3</v>
      </c>
      <c r="B4" s="7">
        <v>43189</v>
      </c>
      <c r="C4" s="8">
        <v>12</v>
      </c>
      <c r="D4" s="9" t="s">
        <v>1481</v>
      </c>
      <c r="E4" s="9" t="s">
        <v>12</v>
      </c>
      <c r="F4" s="10">
        <v>154951</v>
      </c>
      <c r="G4" s="10">
        <f>F4*1000000</f>
        <v>154951000000</v>
      </c>
      <c r="H4" s="10">
        <v>5659</v>
      </c>
      <c r="I4" s="10">
        <f>H4*1000000</f>
        <v>5659000000</v>
      </c>
      <c r="J4" s="9" t="s">
        <v>13</v>
      </c>
      <c r="K4" s="10">
        <v>2821838708</v>
      </c>
      <c r="L4" s="8">
        <v>700000</v>
      </c>
      <c r="M4" s="8" t="s">
        <v>63</v>
      </c>
      <c r="N4" s="7">
        <v>0</v>
      </c>
      <c r="O4" s="14">
        <f>K4/G4</f>
        <v>1.8211168098302043E-2</v>
      </c>
      <c r="P4" s="15">
        <f>K4/I4</f>
        <v>0.498646175649408</v>
      </c>
      <c r="Q4" s="7"/>
    </row>
    <row r="5" spans="1:18" x14ac:dyDescent="0.15">
      <c r="A5" s="13">
        <v>4</v>
      </c>
      <c r="B5" s="13">
        <v>39213</v>
      </c>
      <c r="C5" s="16">
        <v>10</v>
      </c>
      <c r="D5" s="17" t="s">
        <v>1479</v>
      </c>
      <c r="E5" s="17" t="s">
        <v>14</v>
      </c>
      <c r="F5" s="12">
        <v>14543</v>
      </c>
      <c r="G5" s="12">
        <f>F5*1000000</f>
        <v>14543000000</v>
      </c>
      <c r="H5" s="12">
        <v>699</v>
      </c>
      <c r="I5" s="12">
        <f>H5*1000000</f>
        <v>699000000</v>
      </c>
      <c r="J5" s="17" t="s">
        <v>15</v>
      </c>
      <c r="K5" s="12">
        <v>100000000</v>
      </c>
      <c r="L5" s="4">
        <v>215000</v>
      </c>
      <c r="M5" s="4">
        <v>800</v>
      </c>
      <c r="N5" s="13">
        <v>1</v>
      </c>
      <c r="O5" s="18">
        <f>K5/G5</f>
        <v>6.8761603520594104E-3</v>
      </c>
      <c r="P5" s="19">
        <f>K5/I5</f>
        <v>0.14306151645207441</v>
      </c>
      <c r="Q5" s="13"/>
    </row>
    <row r="6" spans="1:18" x14ac:dyDescent="0.15">
      <c r="A6" s="13">
        <v>5</v>
      </c>
      <c r="B6" s="13">
        <v>31469</v>
      </c>
      <c r="C6" s="16">
        <v>4</v>
      </c>
      <c r="D6" s="17" t="s">
        <v>1473</v>
      </c>
      <c r="E6" s="17" t="s">
        <v>16</v>
      </c>
      <c r="F6" s="12">
        <v>64052</v>
      </c>
      <c r="G6" s="12">
        <f>F6*1000000</f>
        <v>64052000000</v>
      </c>
      <c r="H6" s="12">
        <v>2965</v>
      </c>
      <c r="I6" s="12">
        <f>H6*1000000</f>
        <v>2965000000</v>
      </c>
      <c r="J6" s="17" t="s">
        <v>17</v>
      </c>
      <c r="K6" s="12">
        <v>2300000000</v>
      </c>
      <c r="L6" s="4">
        <v>220000</v>
      </c>
      <c r="M6" s="4">
        <v>14000</v>
      </c>
      <c r="N6" s="13">
        <v>1</v>
      </c>
      <c r="O6" s="18">
        <f>K6/G6</f>
        <v>3.5908324486354837E-2</v>
      </c>
      <c r="P6" s="19">
        <f>K6/I6</f>
        <v>0.77571669477234406</v>
      </c>
      <c r="Q6" s="13"/>
    </row>
    <row r="7" spans="1:18" x14ac:dyDescent="0.15">
      <c r="A7" s="7">
        <v>6</v>
      </c>
      <c r="B7" s="7">
        <v>28381</v>
      </c>
      <c r="C7" s="8">
        <v>1</v>
      </c>
      <c r="D7" s="9" t="s">
        <v>1470</v>
      </c>
      <c r="E7" s="9" t="s">
        <v>18</v>
      </c>
      <c r="F7" s="10">
        <v>13130</v>
      </c>
      <c r="G7" s="10">
        <f>F7*1000000</f>
        <v>13130000000</v>
      </c>
      <c r="H7" s="10">
        <v>636</v>
      </c>
      <c r="I7" s="10">
        <f>H7*1000000</f>
        <v>636000000</v>
      </c>
      <c r="J7" s="9" t="s">
        <v>19</v>
      </c>
      <c r="K7" s="10">
        <v>111172110</v>
      </c>
      <c r="L7" s="8">
        <v>35000</v>
      </c>
      <c r="M7" s="8">
        <v>3000</v>
      </c>
      <c r="N7" s="7">
        <v>0</v>
      </c>
      <c r="O7" s="14">
        <f>K7/G7</f>
        <v>8.4670304645849195E-3</v>
      </c>
      <c r="P7" s="15">
        <f>K7/I7</f>
        <v>0.17479891509433962</v>
      </c>
      <c r="Q7" s="7"/>
    </row>
    <row r="8" spans="1:18" x14ac:dyDescent="0.15">
      <c r="A8" s="22">
        <v>7</v>
      </c>
      <c r="B8" s="22">
        <v>25949</v>
      </c>
      <c r="C8" s="23">
        <v>18</v>
      </c>
      <c r="D8" s="24" t="s">
        <v>1487</v>
      </c>
      <c r="E8" s="24" t="s">
        <v>20</v>
      </c>
      <c r="F8" s="25">
        <v>19944</v>
      </c>
      <c r="G8" s="25">
        <f>F8*1000000</f>
        <v>19944000000</v>
      </c>
      <c r="H8" s="25">
        <v>2289</v>
      </c>
      <c r="I8" s="25">
        <f>H8*1000000</f>
        <v>2289000000</v>
      </c>
      <c r="J8" s="24" t="s">
        <v>21</v>
      </c>
      <c r="K8" s="25">
        <v>994364589</v>
      </c>
      <c r="L8" s="23">
        <v>117446</v>
      </c>
      <c r="M8" s="23">
        <v>4247</v>
      </c>
      <c r="N8" s="22">
        <v>0</v>
      </c>
      <c r="O8" s="26">
        <f>K8/G8</f>
        <v>4.9857831377858E-2</v>
      </c>
      <c r="P8" s="27">
        <f>K8/I8</f>
        <v>0.43441004325032767</v>
      </c>
      <c r="Q8" s="22" t="b">
        <v>1</v>
      </c>
    </row>
    <row r="9" spans="1:18" x14ac:dyDescent="0.15">
      <c r="A9" s="13">
        <v>8</v>
      </c>
      <c r="B9" s="13">
        <v>25671</v>
      </c>
      <c r="C9" s="16">
        <v>6</v>
      </c>
      <c r="D9" s="17" t="s">
        <v>1475</v>
      </c>
      <c r="E9" s="17" t="s">
        <v>22</v>
      </c>
      <c r="F9" s="12">
        <v>23620</v>
      </c>
      <c r="G9" s="12">
        <f>F9*1000000</f>
        <v>23620000000</v>
      </c>
      <c r="H9" s="12">
        <v>852</v>
      </c>
      <c r="I9" s="12">
        <f>H9*1000000</f>
        <v>852000000</v>
      </c>
      <c r="J9" s="17" t="s">
        <v>23</v>
      </c>
      <c r="K9" s="12">
        <v>700000000</v>
      </c>
      <c r="L9" s="4">
        <v>100000</v>
      </c>
      <c r="M9" s="4">
        <v>3500</v>
      </c>
      <c r="N9" s="13">
        <v>1</v>
      </c>
      <c r="O9" s="18">
        <f>K9/G9</f>
        <v>2.9635901778154106E-2</v>
      </c>
      <c r="P9" s="19">
        <f>K9/I9</f>
        <v>0.82159624413145538</v>
      </c>
      <c r="Q9" s="13"/>
    </row>
    <row r="10" spans="1:18" x14ac:dyDescent="0.15">
      <c r="A10" s="22">
        <v>9</v>
      </c>
      <c r="B10" s="22">
        <v>25026</v>
      </c>
      <c r="C10" s="23">
        <v>1</v>
      </c>
      <c r="D10" s="24" t="s">
        <v>1470</v>
      </c>
      <c r="E10" s="24" t="s">
        <v>24</v>
      </c>
      <c r="F10" s="25">
        <v>12817</v>
      </c>
      <c r="G10" s="25">
        <f>F10*1000000</f>
        <v>12817000000</v>
      </c>
      <c r="H10" s="25">
        <v>759</v>
      </c>
      <c r="I10" s="25">
        <f>H10*1000000</f>
        <v>759000000</v>
      </c>
      <c r="J10" s="24" t="s">
        <v>25</v>
      </c>
      <c r="K10" s="25">
        <v>233412542</v>
      </c>
      <c r="L10" s="23" t="s">
        <v>63</v>
      </c>
      <c r="M10" s="23">
        <v>1759</v>
      </c>
      <c r="N10" s="22">
        <v>0</v>
      </c>
      <c r="O10" s="26">
        <f>K10/G10</f>
        <v>1.8211168136069284E-2</v>
      </c>
      <c r="P10" s="27">
        <f>K10/I10</f>
        <v>0.30752640579710144</v>
      </c>
      <c r="Q10" s="22" t="b">
        <v>1</v>
      </c>
    </row>
    <row r="11" spans="1:18" x14ac:dyDescent="0.15">
      <c r="A11" s="13">
        <v>10</v>
      </c>
      <c r="B11" s="13">
        <v>24372</v>
      </c>
      <c r="C11" s="16">
        <v>12</v>
      </c>
      <c r="D11" s="17" t="s">
        <v>1481</v>
      </c>
      <c r="E11" s="17" t="s">
        <v>26</v>
      </c>
      <c r="F11" s="12">
        <v>128439</v>
      </c>
      <c r="G11" s="12">
        <f>F11*1000000</f>
        <v>128439000000</v>
      </c>
      <c r="H11" s="12">
        <v>5748</v>
      </c>
      <c r="I11" s="12">
        <f>H11*1000000</f>
        <v>5748000000</v>
      </c>
      <c r="J11" s="17" t="s">
        <v>27</v>
      </c>
      <c r="K11" s="12">
        <v>1250000000</v>
      </c>
      <c r="L11" s="4">
        <v>337778</v>
      </c>
      <c r="M11" s="4">
        <v>5949</v>
      </c>
      <c r="N11" s="13">
        <v>1</v>
      </c>
      <c r="O11" s="18">
        <f>K11/G11</f>
        <v>9.7322464360513547E-3</v>
      </c>
      <c r="P11" s="19">
        <f>K11/I11</f>
        <v>0.21746694502435629</v>
      </c>
      <c r="Q11" s="13"/>
    </row>
    <row r="12" spans="1:18" x14ac:dyDescent="0.15">
      <c r="A12" s="22">
        <v>11</v>
      </c>
      <c r="B12" s="22">
        <v>23720</v>
      </c>
      <c r="C12" s="23">
        <v>17</v>
      </c>
      <c r="D12" s="24" t="s">
        <v>1486</v>
      </c>
      <c r="E12" s="24" t="s">
        <v>28</v>
      </c>
      <c r="F12" s="25">
        <v>34025</v>
      </c>
      <c r="G12" s="25">
        <f>F12*1000000</f>
        <v>34025000000</v>
      </c>
      <c r="H12" s="25">
        <v>260</v>
      </c>
      <c r="I12" s="25">
        <f>H12*1000000</f>
        <v>260000000</v>
      </c>
      <c r="J12" s="24" t="s">
        <v>29</v>
      </c>
      <c r="K12" s="25">
        <v>184688571</v>
      </c>
      <c r="L12" s="23">
        <v>334000</v>
      </c>
      <c r="M12" s="23">
        <v>1122</v>
      </c>
      <c r="N12" s="22">
        <v>0</v>
      </c>
      <c r="O12" s="26">
        <f>K12/G12</f>
        <v>5.4280255988243941E-3</v>
      </c>
      <c r="P12" s="27">
        <f>K12/I12</f>
        <v>0.7103406576923077</v>
      </c>
      <c r="Q12" s="22" t="b">
        <v>1</v>
      </c>
    </row>
    <row r="13" spans="1:18" x14ac:dyDescent="0.15">
      <c r="A13" s="13">
        <v>12</v>
      </c>
      <c r="B13" s="13">
        <v>23215</v>
      </c>
      <c r="C13" s="16">
        <v>4</v>
      </c>
      <c r="D13" s="17" t="s">
        <v>1473</v>
      </c>
      <c r="E13" s="17" t="s">
        <v>30</v>
      </c>
      <c r="F13" s="12">
        <v>13451</v>
      </c>
      <c r="G13" s="12">
        <f>F13*1000000</f>
        <v>13451000000</v>
      </c>
      <c r="H13" s="12">
        <v>-2105</v>
      </c>
      <c r="I13" s="12">
        <f>H13*1000000</f>
        <v>-2105000000</v>
      </c>
      <c r="J13" s="17" t="s">
        <v>31</v>
      </c>
      <c r="K13" s="12">
        <v>725000000</v>
      </c>
      <c r="L13" s="4">
        <v>60000</v>
      </c>
      <c r="M13" s="4">
        <v>3000</v>
      </c>
      <c r="N13" s="13">
        <v>1</v>
      </c>
      <c r="O13" s="18">
        <f>K13/G13</f>
        <v>5.3899338339156937E-2</v>
      </c>
      <c r="P13" s="19">
        <f>K13/I13</f>
        <v>-0.34441805225653205</v>
      </c>
      <c r="Q13" s="13"/>
    </row>
    <row r="14" spans="1:18" x14ac:dyDescent="0.15">
      <c r="A14" s="22">
        <v>13</v>
      </c>
      <c r="B14" s="22">
        <v>22317</v>
      </c>
      <c r="C14" s="23">
        <v>4</v>
      </c>
      <c r="D14" s="24" t="s">
        <v>1473</v>
      </c>
      <c r="E14" s="24" t="s">
        <v>32</v>
      </c>
      <c r="F14" s="25">
        <v>10052</v>
      </c>
      <c r="G14" s="25">
        <f>F14*1000000</f>
        <v>10052000000</v>
      </c>
      <c r="H14" s="25">
        <v>822</v>
      </c>
      <c r="I14" s="25">
        <f>H14*1000000</f>
        <v>822000000</v>
      </c>
      <c r="J14" s="24" t="s">
        <v>33</v>
      </c>
      <c r="K14" s="25">
        <v>244188275</v>
      </c>
      <c r="L14" s="23">
        <v>82000</v>
      </c>
      <c r="M14" s="23">
        <v>1000</v>
      </c>
      <c r="N14" s="22">
        <v>0</v>
      </c>
      <c r="O14" s="26">
        <f>K14/G14</f>
        <v>2.429250646637485E-2</v>
      </c>
      <c r="P14" s="27">
        <f>K14/I14</f>
        <v>0.29706602798053527</v>
      </c>
      <c r="Q14" s="22" t="b">
        <v>1</v>
      </c>
    </row>
    <row r="15" spans="1:18" x14ac:dyDescent="0.15">
      <c r="A15" s="13">
        <v>14</v>
      </c>
      <c r="B15" s="13">
        <v>21286</v>
      </c>
      <c r="C15" s="16">
        <v>4</v>
      </c>
      <c r="D15" s="17" t="s">
        <v>1473</v>
      </c>
      <c r="E15" s="17" t="s">
        <v>34</v>
      </c>
      <c r="F15" s="12">
        <v>24991</v>
      </c>
      <c r="G15" s="12">
        <f>F15*1000000</f>
        <v>24991000000</v>
      </c>
      <c r="H15" s="12">
        <v>1599</v>
      </c>
      <c r="I15" s="12">
        <f>H15*1000000</f>
        <v>1599000000</v>
      </c>
      <c r="J15" s="17" t="s">
        <v>35</v>
      </c>
      <c r="K15" s="12">
        <v>955000000</v>
      </c>
      <c r="L15" s="4">
        <v>98400</v>
      </c>
      <c r="M15" s="4">
        <v>5600</v>
      </c>
      <c r="N15" s="13">
        <v>1</v>
      </c>
      <c r="O15" s="18">
        <f>K15/G15</f>
        <v>3.8213756952502904E-2</v>
      </c>
      <c r="P15" s="19">
        <f>K15/I15</f>
        <v>0.59724828017510945</v>
      </c>
      <c r="Q15" s="13"/>
    </row>
    <row r="16" spans="1:18" x14ac:dyDescent="0.15">
      <c r="A16" s="13">
        <v>15</v>
      </c>
      <c r="B16" s="13">
        <v>20097</v>
      </c>
      <c r="C16" s="16">
        <v>3</v>
      </c>
      <c r="D16" s="17" t="s">
        <v>1472</v>
      </c>
      <c r="E16" s="17" t="s">
        <v>36</v>
      </c>
      <c r="F16" s="12">
        <v>40280</v>
      </c>
      <c r="G16" s="12">
        <f>F16*1000000</f>
        <v>40280000000</v>
      </c>
      <c r="H16" s="12">
        <v>2727</v>
      </c>
      <c r="I16" s="12">
        <f>H16*1000000</f>
        <v>2727000000</v>
      </c>
      <c r="J16" s="17" t="s">
        <v>37</v>
      </c>
      <c r="K16" s="12">
        <v>715000000</v>
      </c>
      <c r="L16" s="4">
        <v>107000</v>
      </c>
      <c r="M16" s="4">
        <v>1549</v>
      </c>
      <c r="N16" s="13">
        <v>1</v>
      </c>
      <c r="O16" s="18">
        <f>K16/G16</f>
        <v>1.7750744786494538E-2</v>
      </c>
      <c r="P16" s="19">
        <f>K16/I16</f>
        <v>0.26219288595526219</v>
      </c>
      <c r="Q16" s="13"/>
    </row>
    <row r="17" spans="1:18" x14ac:dyDescent="0.15">
      <c r="A17" s="22">
        <v>16</v>
      </c>
      <c r="B17" s="22">
        <v>19949</v>
      </c>
      <c r="C17" s="23">
        <v>12</v>
      </c>
      <c r="D17" s="24" t="s">
        <v>1481</v>
      </c>
      <c r="E17" s="24" t="s">
        <v>38</v>
      </c>
      <c r="F17" s="25">
        <v>8848</v>
      </c>
      <c r="G17" s="25">
        <f>F17*1000000</f>
        <v>8848000000</v>
      </c>
      <c r="H17" s="25">
        <v>77</v>
      </c>
      <c r="I17" s="25">
        <f>H17*1000000</f>
        <v>77000000</v>
      </c>
      <c r="J17" s="24" t="s">
        <v>39</v>
      </c>
      <c r="K17" s="25">
        <v>111709594</v>
      </c>
      <c r="L17" s="23">
        <v>101654</v>
      </c>
      <c r="M17" s="23">
        <v>761</v>
      </c>
      <c r="N17" s="22">
        <v>0</v>
      </c>
      <c r="O17" s="26">
        <f>K17/G17</f>
        <v>1.2625406193490054E-2</v>
      </c>
      <c r="P17" s="27">
        <f>K17/I17</f>
        <v>1.4507739480519481</v>
      </c>
      <c r="Q17" s="22" t="b">
        <v>1</v>
      </c>
    </row>
    <row r="18" spans="1:18" x14ac:dyDescent="0.15">
      <c r="A18" s="22">
        <v>17</v>
      </c>
      <c r="B18" s="22">
        <v>19920</v>
      </c>
      <c r="C18" s="23">
        <v>6</v>
      </c>
      <c r="D18" s="24" t="s">
        <v>1475</v>
      </c>
      <c r="E18" s="24" t="s">
        <v>40</v>
      </c>
      <c r="F18" s="25">
        <v>8607</v>
      </c>
      <c r="G18" s="25">
        <f>F18*1000000</f>
        <v>8607000000</v>
      </c>
      <c r="H18" s="25">
        <v>904</v>
      </c>
      <c r="I18" s="25">
        <f>H18*1000000</f>
        <v>904000000</v>
      </c>
      <c r="J18" s="24" t="s">
        <v>41</v>
      </c>
      <c r="K18" s="25">
        <v>229844020</v>
      </c>
      <c r="L18" s="23">
        <v>75000</v>
      </c>
      <c r="M18" s="23">
        <v>1000</v>
      </c>
      <c r="N18" s="22">
        <v>0</v>
      </c>
      <c r="O18" s="26">
        <f>K18/G18</f>
        <v>2.6704312768676658E-2</v>
      </c>
      <c r="P18" s="27">
        <f>K18/I18</f>
        <v>0.25425223451327433</v>
      </c>
      <c r="Q18" s="22" t="b">
        <v>1</v>
      </c>
    </row>
    <row r="19" spans="1:18" x14ac:dyDescent="0.15">
      <c r="A19" s="13">
        <v>18</v>
      </c>
      <c r="B19" s="13">
        <v>19165</v>
      </c>
      <c r="C19" s="16">
        <v>4</v>
      </c>
      <c r="D19" s="17" t="s">
        <v>1473</v>
      </c>
      <c r="E19" s="17" t="s">
        <v>42</v>
      </c>
      <c r="F19" s="12">
        <v>2469</v>
      </c>
      <c r="G19" s="12">
        <f>F19*1000000</f>
        <v>2469000000</v>
      </c>
      <c r="H19" s="12">
        <v>334</v>
      </c>
      <c r="I19" s="12">
        <f>H19*1000000</f>
        <v>334000000</v>
      </c>
      <c r="J19" s="17" t="s">
        <v>43</v>
      </c>
      <c r="K19" s="12">
        <v>130000000</v>
      </c>
      <c r="L19" s="4">
        <v>20000</v>
      </c>
      <c r="M19" s="4">
        <v>2500</v>
      </c>
      <c r="N19" s="13">
        <v>1</v>
      </c>
      <c r="O19" s="18">
        <f>K19/G19</f>
        <v>5.2652895909275008E-2</v>
      </c>
      <c r="P19" s="19">
        <f>K19/I19</f>
        <v>0.38922155688622756</v>
      </c>
      <c r="Q19" s="13"/>
    </row>
    <row r="20" spans="1:18" x14ac:dyDescent="0.15">
      <c r="A20" s="13">
        <v>19</v>
      </c>
      <c r="B20" s="13">
        <v>18959</v>
      </c>
      <c r="C20" s="16">
        <v>1</v>
      </c>
      <c r="D20" s="17" t="s">
        <v>1470</v>
      </c>
      <c r="E20" s="17" t="s">
        <v>44</v>
      </c>
      <c r="F20" s="12">
        <v>11123</v>
      </c>
      <c r="G20" s="12">
        <f>F20*1000000</f>
        <v>11123000000</v>
      </c>
      <c r="H20" s="12">
        <v>634</v>
      </c>
      <c r="I20" s="12">
        <f>H20*1000000</f>
        <v>634000000</v>
      </c>
      <c r="J20" s="17" t="s">
        <v>45</v>
      </c>
      <c r="K20" s="12">
        <v>385000000</v>
      </c>
      <c r="L20" s="4">
        <v>75000</v>
      </c>
      <c r="M20" s="4">
        <v>1960</v>
      </c>
      <c r="N20" s="13">
        <v>1</v>
      </c>
      <c r="O20" s="18">
        <f>K20/G20</f>
        <v>3.4612964128382634E-2</v>
      </c>
      <c r="P20" s="19">
        <f>K20/I20</f>
        <v>0.60725552050473186</v>
      </c>
      <c r="Q20" s="13"/>
    </row>
    <row r="21" spans="1:18" x14ac:dyDescent="0.15">
      <c r="A21" s="13">
        <v>20</v>
      </c>
      <c r="B21" s="13">
        <v>18855</v>
      </c>
      <c r="C21" s="16">
        <v>4</v>
      </c>
      <c r="D21" s="17" t="s">
        <v>1473</v>
      </c>
      <c r="E21" s="17" t="s">
        <v>46</v>
      </c>
      <c r="F21" s="12">
        <v>17837</v>
      </c>
      <c r="G21" s="12">
        <f>F21*1000000</f>
        <v>17837000000</v>
      </c>
      <c r="H21" s="12">
        <v>794</v>
      </c>
      <c r="I21" s="12">
        <f>H21*1000000</f>
        <v>794000000</v>
      </c>
      <c r="J21" s="17" t="s">
        <v>47</v>
      </c>
      <c r="K21" s="12">
        <v>670000000</v>
      </c>
      <c r="L21" s="4">
        <v>87600</v>
      </c>
      <c r="M21" s="4">
        <v>600</v>
      </c>
      <c r="N21" s="13">
        <v>1</v>
      </c>
      <c r="O21" s="18">
        <f>K21/G21</f>
        <v>3.7562370353759041E-2</v>
      </c>
      <c r="P21" s="19">
        <f>K21/I21</f>
        <v>0.84382871536523929</v>
      </c>
      <c r="Q21" s="13"/>
      <c r="R21" s="13"/>
    </row>
    <row r="22" spans="1:18" x14ac:dyDescent="0.15">
      <c r="A22" s="13">
        <v>21</v>
      </c>
      <c r="B22" s="13">
        <v>18721</v>
      </c>
      <c r="C22" s="16">
        <v>1</v>
      </c>
      <c r="D22" s="17" t="s">
        <v>1470</v>
      </c>
      <c r="E22" s="17" t="s">
        <v>48</v>
      </c>
      <c r="F22" s="12">
        <v>21197</v>
      </c>
      <c r="G22" s="12">
        <f>F22*1000000</f>
        <v>21197000000</v>
      </c>
      <c r="H22" s="12">
        <v>644</v>
      </c>
      <c r="I22" s="12">
        <f>H22*1000000</f>
        <v>644000000</v>
      </c>
      <c r="J22" s="17" t="s">
        <v>49</v>
      </c>
      <c r="K22" s="12">
        <v>650000000</v>
      </c>
      <c r="L22" s="4">
        <v>168600</v>
      </c>
      <c r="M22" s="4">
        <v>2500</v>
      </c>
      <c r="N22" s="13">
        <v>1</v>
      </c>
      <c r="O22" s="18">
        <f>K22/G22</f>
        <v>3.066471670519413E-2</v>
      </c>
      <c r="P22" s="19">
        <f>K22/I22</f>
        <v>1.0093167701863355</v>
      </c>
      <c r="Q22" s="13"/>
    </row>
    <row r="23" spans="1:18" x14ac:dyDescent="0.15">
      <c r="A23" s="13">
        <v>22</v>
      </c>
      <c r="B23" s="13">
        <v>17877</v>
      </c>
      <c r="C23" s="16">
        <v>4</v>
      </c>
      <c r="D23" s="17" t="s">
        <v>1473</v>
      </c>
      <c r="E23" s="17" t="s">
        <v>50</v>
      </c>
      <c r="F23" s="12">
        <v>7400</v>
      </c>
      <c r="G23" s="12">
        <f>F23*1000000</f>
        <v>7400000000</v>
      </c>
      <c r="H23" s="12">
        <v>108</v>
      </c>
      <c r="I23" s="12">
        <f>H23*1000000</f>
        <v>108000000</v>
      </c>
      <c r="J23" s="17" t="s">
        <v>51</v>
      </c>
      <c r="K23" s="12">
        <v>233000000</v>
      </c>
      <c r="L23" s="4">
        <v>37800</v>
      </c>
      <c r="M23" s="4">
        <v>1561</v>
      </c>
      <c r="N23" s="13">
        <v>1</v>
      </c>
      <c r="O23" s="18">
        <f>K23/G23</f>
        <v>3.1486486486486484E-2</v>
      </c>
      <c r="P23" s="19">
        <f>K23/I23</f>
        <v>2.1574074074074074</v>
      </c>
      <c r="Q23" s="13"/>
    </row>
    <row r="24" spans="1:18" x14ac:dyDescent="0.15">
      <c r="A24" s="22">
        <v>23</v>
      </c>
      <c r="B24" s="22">
        <v>17715</v>
      </c>
      <c r="C24" s="23">
        <v>9</v>
      </c>
      <c r="D24" s="24" t="s">
        <v>1478</v>
      </c>
      <c r="E24" s="24" t="s">
        <v>52</v>
      </c>
      <c r="F24" s="25">
        <v>65125</v>
      </c>
      <c r="G24" s="25">
        <f>F24*1000000</f>
        <v>65125000000</v>
      </c>
      <c r="H24" s="25">
        <v>4725</v>
      </c>
      <c r="I24" s="25">
        <f>H24*1000000</f>
        <v>4725000000</v>
      </c>
      <c r="J24" s="24" t="s">
        <v>53</v>
      </c>
      <c r="K24" s="25">
        <v>774076948</v>
      </c>
      <c r="L24" s="23">
        <v>173000</v>
      </c>
      <c r="M24" s="23">
        <v>6175</v>
      </c>
      <c r="N24" s="22">
        <v>0</v>
      </c>
      <c r="O24" s="26">
        <f>K24/G24</f>
        <v>1.1886018395393475E-2</v>
      </c>
      <c r="P24" s="27">
        <f>K24/I24</f>
        <v>0.1638258091005291</v>
      </c>
      <c r="Q24" s="22" t="b">
        <v>1</v>
      </c>
    </row>
    <row r="25" spans="1:18" x14ac:dyDescent="0.15">
      <c r="A25" s="13">
        <v>24</v>
      </c>
      <c r="B25" s="13">
        <v>17681</v>
      </c>
      <c r="C25" s="16">
        <v>1</v>
      </c>
      <c r="D25" s="17" t="s">
        <v>1470</v>
      </c>
      <c r="E25" s="17" t="s">
        <v>54</v>
      </c>
      <c r="F25" s="12">
        <v>9683</v>
      </c>
      <c r="G25" s="12">
        <f>F25*1000000</f>
        <v>9683000000</v>
      </c>
      <c r="H25" s="12">
        <v>433</v>
      </c>
      <c r="I25" s="12">
        <f>H25*1000000</f>
        <v>433000000</v>
      </c>
      <c r="J25" s="17" t="s">
        <v>55</v>
      </c>
      <c r="K25" s="12">
        <v>294000000</v>
      </c>
      <c r="L25" s="4">
        <v>56000</v>
      </c>
      <c r="M25" s="4">
        <v>280</v>
      </c>
      <c r="N25" s="13">
        <v>1</v>
      </c>
      <c r="O25" s="18">
        <f>K25/G25</f>
        <v>3.0362490963544358E-2</v>
      </c>
      <c r="P25" s="19">
        <f>K25/I25</f>
        <v>0.67898383371824478</v>
      </c>
      <c r="Q25" s="13"/>
    </row>
    <row r="26" spans="1:18" x14ac:dyDescent="0.15">
      <c r="A26" s="22">
        <v>25</v>
      </c>
      <c r="B26" s="22">
        <v>17557</v>
      </c>
      <c r="C26" s="23">
        <v>13</v>
      </c>
      <c r="D26" s="24" t="s">
        <v>1482</v>
      </c>
      <c r="E26" s="24" t="s">
        <v>56</v>
      </c>
      <c r="F26" s="25">
        <v>3825</v>
      </c>
      <c r="G26" s="25">
        <f>F26*1000000</f>
        <v>3825000000</v>
      </c>
      <c r="H26" s="25">
        <v>465</v>
      </c>
      <c r="I26" s="25">
        <f>H26*1000000</f>
        <v>465000000</v>
      </c>
      <c r="J26" s="24" t="s">
        <v>57</v>
      </c>
      <c r="K26" s="25">
        <v>52682079</v>
      </c>
      <c r="L26" s="23">
        <v>36500</v>
      </c>
      <c r="M26" s="23">
        <v>298</v>
      </c>
      <c r="N26" s="22">
        <v>0</v>
      </c>
      <c r="O26" s="26">
        <f>K26/G26</f>
        <v>1.3773092549019608E-2</v>
      </c>
      <c r="P26" s="27">
        <f>K26/I26</f>
        <v>0.11329479354838709</v>
      </c>
      <c r="Q26" s="22" t="b">
        <v>1</v>
      </c>
    </row>
    <row r="27" spans="1:18" x14ac:dyDescent="0.15">
      <c r="A27" s="22">
        <v>26</v>
      </c>
      <c r="B27" s="22">
        <v>17472</v>
      </c>
      <c r="C27" s="23">
        <v>13</v>
      </c>
      <c r="D27" s="24" t="s">
        <v>1482</v>
      </c>
      <c r="E27" s="24" t="s">
        <v>58</v>
      </c>
      <c r="F27" s="25">
        <v>4896</v>
      </c>
      <c r="G27" s="25">
        <f>F27*1000000</f>
        <v>4896000000</v>
      </c>
      <c r="H27" s="25">
        <v>630</v>
      </c>
      <c r="I27" s="25">
        <f>H27*1000000</f>
        <v>630000000</v>
      </c>
      <c r="J27" s="24" t="s">
        <v>59</v>
      </c>
      <c r="K27" s="25">
        <v>67433061</v>
      </c>
      <c r="L27" s="23">
        <v>50400</v>
      </c>
      <c r="M27" s="23">
        <v>382</v>
      </c>
      <c r="N27" s="22">
        <v>0</v>
      </c>
      <c r="O27" s="26">
        <f>K27/G27</f>
        <v>1.3773092524509804E-2</v>
      </c>
      <c r="P27" s="27">
        <f>K27/I27</f>
        <v>0.10703660476190476</v>
      </c>
      <c r="Q27" s="22" t="b">
        <v>1</v>
      </c>
    </row>
    <row r="28" spans="1:18" x14ac:dyDescent="0.15">
      <c r="A28" s="13">
        <v>27</v>
      </c>
      <c r="B28" s="13">
        <v>17206</v>
      </c>
      <c r="C28" s="16">
        <v>14</v>
      </c>
      <c r="D28" s="17" t="s">
        <v>1483</v>
      </c>
      <c r="E28" s="17" t="s">
        <v>60</v>
      </c>
      <c r="F28" s="12">
        <v>14966</v>
      </c>
      <c r="G28" s="12">
        <f>F28*1000000</f>
        <v>14966000000</v>
      </c>
      <c r="H28" s="12">
        <v>432</v>
      </c>
      <c r="I28" s="12">
        <f>H28*1000000</f>
        <v>432000000</v>
      </c>
      <c r="J28" s="17" t="s">
        <v>61</v>
      </c>
      <c r="K28" s="12">
        <v>146000000</v>
      </c>
      <c r="L28" s="4">
        <v>76000</v>
      </c>
      <c r="M28" s="4">
        <v>935</v>
      </c>
      <c r="N28" s="13">
        <v>1</v>
      </c>
      <c r="O28" s="18">
        <f>K28/G28</f>
        <v>9.7554456768675669E-3</v>
      </c>
      <c r="P28" s="19">
        <f>K28/I28</f>
        <v>0.33796296296296297</v>
      </c>
      <c r="Q28" s="13"/>
    </row>
    <row r="29" spans="1:18" x14ac:dyDescent="0.15">
      <c r="A29" s="22">
        <v>28</v>
      </c>
      <c r="B29" s="22">
        <v>16956</v>
      </c>
      <c r="C29" s="23">
        <v>16</v>
      </c>
      <c r="D29" s="24" t="s">
        <v>1485</v>
      </c>
      <c r="E29" s="24" t="s">
        <v>62</v>
      </c>
      <c r="F29" s="25">
        <v>6020</v>
      </c>
      <c r="G29" s="25">
        <f>F29*1000000</f>
        <v>6020000000</v>
      </c>
      <c r="H29" s="22" t="s">
        <v>63</v>
      </c>
      <c r="I29" s="25" t="e">
        <f>H29*1000000</f>
        <v>#VALUE!</v>
      </c>
      <c r="J29" s="24" t="s">
        <v>64</v>
      </c>
      <c r="K29" s="25">
        <v>138924552</v>
      </c>
      <c r="L29" s="23">
        <v>61287</v>
      </c>
      <c r="M29" s="23">
        <v>570</v>
      </c>
      <c r="N29" s="22">
        <v>0</v>
      </c>
      <c r="O29" s="26">
        <f>K29/G29</f>
        <v>2.3077168106312291E-2</v>
      </c>
      <c r="P29" s="27" t="e">
        <f>K29/I29</f>
        <v>#VALUE!</v>
      </c>
      <c r="Q29" s="22" t="b">
        <v>1</v>
      </c>
    </row>
    <row r="30" spans="1:18" x14ac:dyDescent="0.15">
      <c r="A30" s="22">
        <v>29</v>
      </c>
      <c r="B30" s="22">
        <v>16844</v>
      </c>
      <c r="C30" s="23">
        <v>6</v>
      </c>
      <c r="D30" s="24" t="s">
        <v>1475</v>
      </c>
      <c r="E30" s="24" t="s">
        <v>65</v>
      </c>
      <c r="F30" s="25">
        <v>10013</v>
      </c>
      <c r="G30" s="25">
        <f>F30*1000000</f>
        <v>10013000000</v>
      </c>
      <c r="H30" s="25">
        <v>597</v>
      </c>
      <c r="I30" s="25">
        <f>H30*1000000</f>
        <v>597000000</v>
      </c>
      <c r="J30" s="24" t="s">
        <v>66</v>
      </c>
      <c r="K30" s="25">
        <v>267390284</v>
      </c>
      <c r="L30" s="23">
        <v>59300</v>
      </c>
      <c r="M30" s="23">
        <v>1271</v>
      </c>
      <c r="N30" s="22">
        <v>0</v>
      </c>
      <c r="O30" s="26">
        <f>K30/G30</f>
        <v>2.6704312793368622E-2</v>
      </c>
      <c r="P30" s="27">
        <f>K30/I30</f>
        <v>0.44788992294807373</v>
      </c>
      <c r="Q30" s="22" t="b">
        <v>1</v>
      </c>
    </row>
    <row r="31" spans="1:18" x14ac:dyDescent="0.15">
      <c r="A31" s="13">
        <v>30</v>
      </c>
      <c r="B31" s="13">
        <v>16536</v>
      </c>
      <c r="C31" s="16">
        <v>16</v>
      </c>
      <c r="D31" s="17" t="s">
        <v>1485</v>
      </c>
      <c r="E31" s="17" t="s">
        <v>67</v>
      </c>
      <c r="F31" s="12">
        <v>5200</v>
      </c>
      <c r="G31" s="12">
        <f>F31*1000000</f>
        <v>5200000000</v>
      </c>
      <c r="H31" s="13" t="s">
        <v>63</v>
      </c>
      <c r="I31" s="12" t="e">
        <f>H31*1000000</f>
        <v>#VALUE!</v>
      </c>
      <c r="J31" s="17" t="s">
        <v>68</v>
      </c>
      <c r="K31" s="12">
        <v>2500000</v>
      </c>
      <c r="L31" s="4">
        <v>56000</v>
      </c>
      <c r="M31" s="4">
        <v>300</v>
      </c>
      <c r="N31" s="13">
        <v>1</v>
      </c>
      <c r="O31" s="18">
        <f>K31/G31</f>
        <v>4.807692307692308E-4</v>
      </c>
      <c r="P31" s="19" t="e">
        <f>K31/I31</f>
        <v>#VALUE!</v>
      </c>
      <c r="Q31" s="13"/>
    </row>
    <row r="32" spans="1:18" x14ac:dyDescent="0.15">
      <c r="A32" s="22">
        <v>31</v>
      </c>
      <c r="B32" s="22">
        <v>16463</v>
      </c>
      <c r="C32" s="23">
        <v>17</v>
      </c>
      <c r="D32" s="24" t="s">
        <v>1486</v>
      </c>
      <c r="E32" s="24" t="s">
        <v>69</v>
      </c>
      <c r="F32" s="25">
        <v>53920</v>
      </c>
      <c r="G32" s="25">
        <f>F32*1000000</f>
        <v>53920000000</v>
      </c>
      <c r="H32" s="25">
        <v>1244</v>
      </c>
      <c r="I32" s="25">
        <f>H32*1000000</f>
        <v>1244000000</v>
      </c>
      <c r="J32" s="24" t="s">
        <v>70</v>
      </c>
      <c r="K32" s="25">
        <v>292679140</v>
      </c>
      <c r="L32" s="23">
        <v>300000</v>
      </c>
      <c r="M32" s="23">
        <v>900</v>
      </c>
      <c r="N32" s="22">
        <v>0</v>
      </c>
      <c r="O32" s="26">
        <f>K32/G32</f>
        <v>5.4280255934718103E-3</v>
      </c>
      <c r="P32" s="27">
        <f>K32/I32</f>
        <v>0.23527262057877812</v>
      </c>
      <c r="Q32" s="22" t="b">
        <v>1</v>
      </c>
    </row>
    <row r="33" spans="1:18" x14ac:dyDescent="0.15">
      <c r="A33" s="13">
        <v>32</v>
      </c>
      <c r="B33" s="13">
        <v>16067</v>
      </c>
      <c r="C33" s="16">
        <v>1</v>
      </c>
      <c r="D33" s="17" t="s">
        <v>1470</v>
      </c>
      <c r="E33" s="17" t="s">
        <v>71</v>
      </c>
      <c r="F33" s="12">
        <v>6052</v>
      </c>
      <c r="G33" s="12">
        <f>F33*1000000</f>
        <v>6052000000</v>
      </c>
      <c r="H33" s="12">
        <v>333</v>
      </c>
      <c r="I33" s="12">
        <f>H33*1000000</f>
        <v>333000000</v>
      </c>
      <c r="J33" s="17" t="s">
        <v>72</v>
      </c>
      <c r="K33" s="12">
        <v>162000000</v>
      </c>
      <c r="L33" s="4">
        <v>52000</v>
      </c>
      <c r="M33" s="4">
        <v>942</v>
      </c>
      <c r="N33" s="13">
        <v>1</v>
      </c>
      <c r="O33" s="18">
        <f>K33/G33</f>
        <v>2.6768010575016522E-2</v>
      </c>
      <c r="P33" s="19">
        <f>K33/I33</f>
        <v>0.48648648648648651</v>
      </c>
      <c r="Q33" s="13"/>
    </row>
    <row r="34" spans="1:18" x14ac:dyDescent="0.15">
      <c r="A34" s="13">
        <v>33</v>
      </c>
      <c r="B34" s="13">
        <v>15670</v>
      </c>
      <c r="C34" s="16">
        <v>4</v>
      </c>
      <c r="D34" s="17" t="s">
        <v>1473</v>
      </c>
      <c r="E34" s="17" t="s">
        <v>73</v>
      </c>
      <c r="F34" s="12">
        <v>3373</v>
      </c>
      <c r="G34" s="12">
        <f>F34*1000000</f>
        <v>3373000000</v>
      </c>
      <c r="H34" s="12">
        <v>111</v>
      </c>
      <c r="I34" s="12">
        <f>H34*1000000</f>
        <v>111000000</v>
      </c>
      <c r="J34" s="17" t="s">
        <v>74</v>
      </c>
      <c r="K34" s="12">
        <v>22000000</v>
      </c>
      <c r="L34" s="4">
        <v>33000</v>
      </c>
      <c r="M34" s="4">
        <v>200</v>
      </c>
      <c r="N34" s="13">
        <v>1</v>
      </c>
      <c r="O34" s="18">
        <f>K34/G34</f>
        <v>6.5223836347465163E-3</v>
      </c>
      <c r="P34" s="19">
        <f>K34/I34</f>
        <v>0.1981981981981982</v>
      </c>
      <c r="Q34" s="13"/>
    </row>
    <row r="35" spans="1:18" x14ac:dyDescent="0.15">
      <c r="A35" s="13">
        <v>34</v>
      </c>
      <c r="B35" s="13">
        <v>15321</v>
      </c>
      <c r="C35" s="16">
        <v>1</v>
      </c>
      <c r="D35" s="17" t="s">
        <v>1470</v>
      </c>
      <c r="E35" s="17" t="s">
        <v>75</v>
      </c>
      <c r="F35" s="12">
        <v>9087</v>
      </c>
      <c r="G35" s="12">
        <f>F35*1000000</f>
        <v>9087000000</v>
      </c>
      <c r="H35" s="12">
        <v>333</v>
      </c>
      <c r="I35" s="12">
        <f>H35*1000000</f>
        <v>333000000</v>
      </c>
      <c r="J35" s="17" t="s">
        <v>76</v>
      </c>
      <c r="K35" s="12">
        <v>19500000</v>
      </c>
      <c r="L35" s="4">
        <v>68000</v>
      </c>
      <c r="M35" s="4">
        <v>1000</v>
      </c>
      <c r="N35" s="13">
        <v>1</v>
      </c>
      <c r="O35" s="18">
        <f>K35/G35</f>
        <v>2.1459227467811159E-3</v>
      </c>
      <c r="P35" s="19">
        <f>K35/I35</f>
        <v>5.8558558558558557E-2</v>
      </c>
      <c r="Q35" s="13"/>
    </row>
    <row r="36" spans="1:18" x14ac:dyDescent="0.15">
      <c r="A36" s="7">
        <v>35</v>
      </c>
      <c r="B36" s="7">
        <v>15023</v>
      </c>
      <c r="C36" s="8">
        <v>6</v>
      </c>
      <c r="D36" s="9" t="s">
        <v>1475</v>
      </c>
      <c r="E36" s="9" t="s">
        <v>77</v>
      </c>
      <c r="F36" s="10">
        <v>4588</v>
      </c>
      <c r="G36" s="10">
        <f>F36*1000000</f>
        <v>4588000000</v>
      </c>
      <c r="H36" s="10">
        <v>293</v>
      </c>
      <c r="I36" s="10">
        <f>H36*1000000</f>
        <v>293000000</v>
      </c>
      <c r="J36" s="9" t="s">
        <v>78</v>
      </c>
      <c r="K36" s="10">
        <v>66035543</v>
      </c>
      <c r="L36" s="8">
        <v>49500</v>
      </c>
      <c r="M36" s="8">
        <v>550</v>
      </c>
      <c r="N36" s="7">
        <v>0</v>
      </c>
      <c r="O36" s="14">
        <f>K36/G36</f>
        <v>1.439310004359198E-2</v>
      </c>
      <c r="P36" s="15">
        <f>K36/I36</f>
        <v>0.22537727986348122</v>
      </c>
      <c r="Q36" s="7"/>
    </row>
    <row r="37" spans="1:18" x14ac:dyDescent="0.15">
      <c r="A37" s="13">
        <v>36</v>
      </c>
      <c r="B37" s="13">
        <v>14954</v>
      </c>
      <c r="C37" s="16">
        <v>18</v>
      </c>
      <c r="D37" s="17" t="s">
        <v>1487</v>
      </c>
      <c r="E37" s="17" t="s">
        <v>79</v>
      </c>
      <c r="F37" s="12">
        <v>12662</v>
      </c>
      <c r="G37" s="12">
        <f>F37*1000000</f>
        <v>12662000000</v>
      </c>
      <c r="H37" s="12">
        <v>884</v>
      </c>
      <c r="I37" s="12">
        <f>H37*1000000</f>
        <v>884000000</v>
      </c>
      <c r="J37" s="17" t="s">
        <v>80</v>
      </c>
      <c r="K37" s="12">
        <v>748000000</v>
      </c>
      <c r="L37" s="4">
        <v>4400</v>
      </c>
      <c r="M37" s="4">
        <v>2400</v>
      </c>
      <c r="N37" s="13">
        <v>1</v>
      </c>
      <c r="O37" s="18">
        <f>K37/G37</f>
        <v>5.9074395830042647E-2</v>
      </c>
      <c r="P37" s="19">
        <f>K37/I37</f>
        <v>0.84615384615384615</v>
      </c>
      <c r="Q37" s="13"/>
    </row>
    <row r="38" spans="1:18" x14ac:dyDescent="0.15">
      <c r="A38" s="28">
        <v>37</v>
      </c>
      <c r="B38" s="28">
        <v>14726</v>
      </c>
      <c r="C38" s="29">
        <v>7</v>
      </c>
      <c r="D38" s="30" t="s">
        <v>1476</v>
      </c>
      <c r="E38" s="30" t="s">
        <v>81</v>
      </c>
      <c r="F38" s="31">
        <v>35854</v>
      </c>
      <c r="G38" s="31">
        <f>F38*1000000</f>
        <v>35854000000</v>
      </c>
      <c r="H38" s="31">
        <v>1595</v>
      </c>
      <c r="I38" s="31">
        <f>H38*1000000</f>
        <v>1595000000</v>
      </c>
      <c r="J38" s="30" t="s">
        <v>82</v>
      </c>
      <c r="K38" s="28" t="e">
        <v>#N/A</v>
      </c>
      <c r="L38" s="29">
        <v>45758</v>
      </c>
      <c r="M38" s="29">
        <v>2009</v>
      </c>
      <c r="N38" s="28">
        <v>1</v>
      </c>
      <c r="O38" s="32" t="e">
        <f>K38/G38</f>
        <v>#N/A</v>
      </c>
      <c r="P38" s="33" t="e">
        <f>K38/I38</f>
        <v>#N/A</v>
      </c>
      <c r="Q38" s="28"/>
      <c r="R38" s="28" t="b">
        <v>1</v>
      </c>
    </row>
    <row r="39" spans="1:18" x14ac:dyDescent="0.15">
      <c r="A39" s="13">
        <v>38</v>
      </c>
      <c r="B39" s="13">
        <v>14702</v>
      </c>
      <c r="C39" s="16">
        <v>15</v>
      </c>
      <c r="D39" s="17" t="s">
        <v>1484</v>
      </c>
      <c r="E39" s="17" t="s">
        <v>83</v>
      </c>
      <c r="F39" s="12">
        <v>8966</v>
      </c>
      <c r="G39" s="12">
        <f>F39*1000000</f>
        <v>8966000000</v>
      </c>
      <c r="H39" s="12">
        <v>1528</v>
      </c>
      <c r="I39" s="12">
        <f>H39*1000000</f>
        <v>1528000000</v>
      </c>
      <c r="J39" s="17" t="s">
        <v>84</v>
      </c>
      <c r="K39" s="12">
        <v>175000000</v>
      </c>
      <c r="L39" s="4">
        <v>70000</v>
      </c>
      <c r="M39" s="4">
        <v>1500</v>
      </c>
      <c r="N39" s="13">
        <v>1</v>
      </c>
      <c r="O39" s="18">
        <f>K39/G39</f>
        <v>1.9518179790318984E-2</v>
      </c>
      <c r="P39" s="19">
        <f>K39/I39</f>
        <v>0.11452879581151833</v>
      </c>
      <c r="Q39" s="13"/>
    </row>
    <row r="40" spans="1:18" x14ac:dyDescent="0.15">
      <c r="A40" s="13">
        <v>39</v>
      </c>
      <c r="B40" s="13">
        <v>14629</v>
      </c>
      <c r="C40" s="16">
        <v>14</v>
      </c>
      <c r="D40" s="17" t="s">
        <v>1483</v>
      </c>
      <c r="E40" s="17" t="s">
        <v>85</v>
      </c>
      <c r="F40" s="12">
        <v>10398</v>
      </c>
      <c r="G40" s="12">
        <f>F40*1000000</f>
        <v>10398000000</v>
      </c>
      <c r="H40" s="12">
        <v>589</v>
      </c>
      <c r="I40" s="12">
        <f>H40*1000000</f>
        <v>589000000</v>
      </c>
      <c r="J40" s="17" t="s">
        <v>86</v>
      </c>
      <c r="K40" s="12">
        <v>140000000</v>
      </c>
      <c r="L40" s="4">
        <v>36665</v>
      </c>
      <c r="M40" s="4">
        <v>950</v>
      </c>
      <c r="N40" s="13">
        <v>1</v>
      </c>
      <c r="O40" s="18">
        <f>K40/G40</f>
        <v>1.3464127716868628E-2</v>
      </c>
      <c r="P40" s="19">
        <f>K40/I40</f>
        <v>0.23769100169779286</v>
      </c>
      <c r="Q40" s="13"/>
    </row>
    <row r="41" spans="1:18" x14ac:dyDescent="0.15">
      <c r="A41" s="28">
        <v>40</v>
      </c>
      <c r="B41" s="28">
        <v>14599</v>
      </c>
      <c r="C41" s="29">
        <v>16</v>
      </c>
      <c r="D41" s="30" t="s">
        <v>1485</v>
      </c>
      <c r="E41" s="30" t="s">
        <v>87</v>
      </c>
      <c r="F41" s="31">
        <v>6738</v>
      </c>
      <c r="G41" s="31">
        <f>F41*1000000</f>
        <v>6738000000</v>
      </c>
      <c r="H41" s="28" t="s">
        <v>63</v>
      </c>
      <c r="I41" s="31" t="e">
        <f>H41*1000000</f>
        <v>#VALUE!</v>
      </c>
      <c r="J41" s="30" t="s">
        <v>88</v>
      </c>
      <c r="K41" s="28" t="e">
        <v>#N/A</v>
      </c>
      <c r="L41" s="29">
        <v>72722</v>
      </c>
      <c r="M41" s="29" t="s">
        <v>63</v>
      </c>
      <c r="N41" s="28">
        <v>1</v>
      </c>
      <c r="O41" s="32" t="e">
        <f>K41/G41</f>
        <v>#N/A</v>
      </c>
      <c r="P41" s="33" t="e">
        <f>K41/I41</f>
        <v>#N/A</v>
      </c>
      <c r="Q41" s="28"/>
      <c r="R41" s="28" t="b">
        <v>1</v>
      </c>
    </row>
    <row r="42" spans="1:18" x14ac:dyDescent="0.15">
      <c r="A42" s="13">
        <v>41</v>
      </c>
      <c r="B42" s="13">
        <v>14397</v>
      </c>
      <c r="C42" s="16">
        <v>16</v>
      </c>
      <c r="D42" s="17" t="s">
        <v>1485</v>
      </c>
      <c r="E42" s="17" t="s">
        <v>89</v>
      </c>
      <c r="F42" s="12">
        <v>6100</v>
      </c>
      <c r="G42" s="12">
        <f>F42*1000000</f>
        <v>6100000000</v>
      </c>
      <c r="H42" s="13" t="s">
        <v>63</v>
      </c>
      <c r="I42" s="12" t="e">
        <f>H42*1000000</f>
        <v>#VALUE!</v>
      </c>
      <c r="J42" s="17" t="s">
        <v>90</v>
      </c>
      <c r="K42" s="12">
        <v>200000000</v>
      </c>
      <c r="L42" s="4">
        <v>72000</v>
      </c>
      <c r="M42" s="4">
        <v>821</v>
      </c>
      <c r="N42" s="13">
        <v>1</v>
      </c>
      <c r="O42" s="18">
        <f>K42/G42</f>
        <v>3.2786885245901641E-2</v>
      </c>
      <c r="P42" s="19" t="e">
        <f>K42/I42</f>
        <v>#VALUE!</v>
      </c>
      <c r="Q42" s="13"/>
    </row>
    <row r="43" spans="1:18" x14ac:dyDescent="0.15">
      <c r="A43" s="7">
        <v>42</v>
      </c>
      <c r="B43" s="7">
        <v>14084</v>
      </c>
      <c r="C43" s="8">
        <v>2</v>
      </c>
      <c r="D43" s="9" t="s">
        <v>1471</v>
      </c>
      <c r="E43" s="9" t="s">
        <v>91</v>
      </c>
      <c r="F43" s="10">
        <v>7857</v>
      </c>
      <c r="G43" s="10">
        <f>F43*1000000</f>
        <v>7857000000</v>
      </c>
      <c r="H43" s="10">
        <v>1005</v>
      </c>
      <c r="I43" s="10">
        <f>H43*1000000</f>
        <v>1005000000</v>
      </c>
      <c r="J43" s="9" t="s">
        <v>92</v>
      </c>
      <c r="K43" s="10">
        <v>557959355</v>
      </c>
      <c r="L43" s="8">
        <v>45300</v>
      </c>
      <c r="M43" s="8">
        <v>2660</v>
      </c>
      <c r="N43" s="7">
        <v>0</v>
      </c>
      <c r="O43" s="14">
        <f>K43/G43</f>
        <v>7.1014299987272489E-2</v>
      </c>
      <c r="P43" s="15">
        <f>K43/I43</f>
        <v>0.55518343781094526</v>
      </c>
      <c r="Q43" s="7"/>
    </row>
    <row r="44" spans="1:18" x14ac:dyDescent="0.15">
      <c r="A44" s="22">
        <v>43</v>
      </c>
      <c r="B44" s="22">
        <v>14084</v>
      </c>
      <c r="C44" s="23">
        <v>14</v>
      </c>
      <c r="D44" s="24" t="s">
        <v>1483</v>
      </c>
      <c r="E44" s="24" t="s">
        <v>93</v>
      </c>
      <c r="F44" s="25">
        <v>12738</v>
      </c>
      <c r="G44" s="25">
        <f>F44*1000000</f>
        <v>12738000000</v>
      </c>
      <c r="H44" s="25">
        <v>326</v>
      </c>
      <c r="I44" s="25">
        <f>H44*1000000</f>
        <v>326000000</v>
      </c>
      <c r="J44" s="24" t="s">
        <v>94</v>
      </c>
      <c r="K44" s="25">
        <v>103429349</v>
      </c>
      <c r="L44" s="23" t="s">
        <v>63</v>
      </c>
      <c r="M44" s="23">
        <v>711</v>
      </c>
      <c r="N44" s="22">
        <v>0</v>
      </c>
      <c r="O44" s="26">
        <f>K44/G44</f>
        <v>8.1197479196106134E-3</v>
      </c>
      <c r="P44" s="27">
        <f>K44/I44</f>
        <v>0.31726794171779144</v>
      </c>
      <c r="Q44" s="22" t="b">
        <v>1</v>
      </c>
    </row>
    <row r="45" spans="1:18" x14ac:dyDescent="0.15">
      <c r="A45" s="22">
        <v>44</v>
      </c>
      <c r="B45" s="22">
        <v>14027</v>
      </c>
      <c r="C45" s="23">
        <v>14</v>
      </c>
      <c r="D45" s="24" t="s">
        <v>1483</v>
      </c>
      <c r="E45" s="24" t="s">
        <v>95</v>
      </c>
      <c r="F45" s="25">
        <v>17405</v>
      </c>
      <c r="G45" s="25">
        <f>F45*1000000</f>
        <v>17405000000</v>
      </c>
      <c r="H45" s="22" t="s">
        <v>63</v>
      </c>
      <c r="I45" s="25" t="e">
        <f>H45*1000000</f>
        <v>#VALUE!</v>
      </c>
      <c r="J45" s="24" t="s">
        <v>96</v>
      </c>
      <c r="K45" s="25">
        <v>141546455</v>
      </c>
      <c r="L45" s="23">
        <v>74000</v>
      </c>
      <c r="M45" s="23">
        <v>974</v>
      </c>
      <c r="N45" s="22">
        <v>0</v>
      </c>
      <c r="O45" s="26">
        <f>K45/G45</f>
        <v>8.132516805515657E-3</v>
      </c>
      <c r="P45" s="27" t="e">
        <f>K45/I45</f>
        <v>#VALUE!</v>
      </c>
      <c r="Q45" s="22" t="b">
        <v>1</v>
      </c>
    </row>
    <row r="46" spans="1:18" x14ac:dyDescent="0.15">
      <c r="A46" s="22">
        <v>45</v>
      </c>
      <c r="B46" s="22">
        <v>13967</v>
      </c>
      <c r="C46" s="23">
        <v>11</v>
      </c>
      <c r="D46" s="24" t="s">
        <v>1480</v>
      </c>
      <c r="E46" s="24" t="s">
        <v>97</v>
      </c>
      <c r="F46" s="25">
        <v>43500</v>
      </c>
      <c r="G46" s="25">
        <f>F46*1000000</f>
        <v>43500000000</v>
      </c>
      <c r="H46" s="22" t="s">
        <v>63</v>
      </c>
      <c r="I46" s="25" t="e">
        <f>H46*1000000</f>
        <v>#VALUE!</v>
      </c>
      <c r="J46" s="24" t="s">
        <v>98</v>
      </c>
      <c r="K46" s="25">
        <v>812846712</v>
      </c>
      <c r="L46" s="23">
        <v>74000</v>
      </c>
      <c r="M46" s="23">
        <v>6780</v>
      </c>
      <c r="N46" s="22">
        <v>0</v>
      </c>
      <c r="O46" s="26">
        <f>K46/G46</f>
        <v>1.8686131310344828E-2</v>
      </c>
      <c r="P46" s="27" t="e">
        <f>K46/I46</f>
        <v>#VALUE!</v>
      </c>
      <c r="Q46" s="22" t="b">
        <v>1</v>
      </c>
    </row>
    <row r="47" spans="1:18" x14ac:dyDescent="0.15">
      <c r="A47" s="13">
        <v>46</v>
      </c>
      <c r="B47" s="13">
        <v>13870</v>
      </c>
      <c r="C47" s="16">
        <v>7</v>
      </c>
      <c r="D47" s="17" t="s">
        <v>1476</v>
      </c>
      <c r="E47" s="17" t="s">
        <v>99</v>
      </c>
      <c r="F47" s="12">
        <v>33353</v>
      </c>
      <c r="G47" s="12">
        <f>F47*1000000</f>
        <v>33353000000</v>
      </c>
      <c r="H47" s="12">
        <v>979</v>
      </c>
      <c r="I47" s="12">
        <f>H47*1000000</f>
        <v>979000000</v>
      </c>
      <c r="J47" s="17" t="s">
        <v>100</v>
      </c>
      <c r="K47" s="12">
        <v>130000000</v>
      </c>
      <c r="L47" s="4">
        <v>30000</v>
      </c>
      <c r="M47" s="4">
        <v>1600</v>
      </c>
      <c r="N47" s="13">
        <v>1</v>
      </c>
      <c r="O47" s="18">
        <f>K47/G47</f>
        <v>3.8977003567894943E-3</v>
      </c>
      <c r="P47" s="19">
        <f>K47/I47</f>
        <v>0.13278855975485188</v>
      </c>
      <c r="Q47" s="13"/>
    </row>
    <row r="48" spans="1:18" x14ac:dyDescent="0.15">
      <c r="A48" s="7">
        <v>47</v>
      </c>
      <c r="B48" s="7">
        <v>13869</v>
      </c>
      <c r="C48" s="8">
        <v>7</v>
      </c>
      <c r="D48" s="9" t="s">
        <v>1476</v>
      </c>
      <c r="E48" s="9" t="s">
        <v>101</v>
      </c>
      <c r="F48" s="10">
        <v>30388</v>
      </c>
      <c r="G48" s="10">
        <f>F48*1000000</f>
        <v>30388000000</v>
      </c>
      <c r="H48" s="10">
        <v>1789</v>
      </c>
      <c r="I48" s="10">
        <f>H48*1000000</f>
        <v>1789000000</v>
      </c>
      <c r="J48" s="9" t="s">
        <v>102</v>
      </c>
      <c r="K48" s="10">
        <v>563478606</v>
      </c>
      <c r="L48" s="8">
        <v>43205</v>
      </c>
      <c r="M48" s="8">
        <v>2200</v>
      </c>
      <c r="N48" s="7">
        <v>0</v>
      </c>
      <c r="O48" s="14">
        <f>K48/G48</f>
        <v>1.8542799986836909E-2</v>
      </c>
      <c r="P48" s="15">
        <f>K48/I48</f>
        <v>0.31496847736165456</v>
      </c>
      <c r="Q48" s="7"/>
    </row>
    <row r="49" spans="1:17" x14ac:dyDescent="0.15">
      <c r="A49" s="13">
        <v>48</v>
      </c>
      <c r="B49" s="13">
        <v>13739</v>
      </c>
      <c r="C49" s="16">
        <v>9</v>
      </c>
      <c r="D49" s="17" t="s">
        <v>1478</v>
      </c>
      <c r="E49" s="17" t="s">
        <v>103</v>
      </c>
      <c r="F49" s="12">
        <v>23512</v>
      </c>
      <c r="G49" s="12">
        <f>F49*1000000</f>
        <v>23512000000</v>
      </c>
      <c r="H49" s="12">
        <v>437</v>
      </c>
      <c r="I49" s="12">
        <f>H49*1000000</f>
        <v>437000000</v>
      </c>
      <c r="J49" s="17" t="s">
        <v>104</v>
      </c>
      <c r="K49" s="12">
        <v>60000000</v>
      </c>
      <c r="L49" s="4">
        <v>80000</v>
      </c>
      <c r="M49" s="4">
        <v>400</v>
      </c>
      <c r="N49" s="13">
        <v>1</v>
      </c>
      <c r="O49" s="18">
        <f>K49/G49</f>
        <v>2.5518883974140864E-3</v>
      </c>
      <c r="P49" s="19">
        <f>K49/I49</f>
        <v>0.13729977116704806</v>
      </c>
      <c r="Q49" s="13"/>
    </row>
    <row r="50" spans="1:17" x14ac:dyDescent="0.15">
      <c r="A50" s="22">
        <v>49</v>
      </c>
      <c r="B50" s="22">
        <v>13717</v>
      </c>
      <c r="C50" s="23">
        <v>17</v>
      </c>
      <c r="D50" s="24" t="s">
        <v>1486</v>
      </c>
      <c r="E50" s="24" t="s">
        <v>105</v>
      </c>
      <c r="F50" s="25">
        <v>3333</v>
      </c>
      <c r="G50" s="25">
        <f>F50*1000000</f>
        <v>3333000000</v>
      </c>
      <c r="H50" s="25">
        <v>22</v>
      </c>
      <c r="I50" s="25">
        <f>H50*1000000</f>
        <v>22000000</v>
      </c>
      <c r="J50" s="24" t="s">
        <v>106</v>
      </c>
      <c r="K50" s="25">
        <v>18091609</v>
      </c>
      <c r="L50" s="23">
        <v>28500</v>
      </c>
      <c r="M50" s="23">
        <v>110</v>
      </c>
      <c r="N50" s="22">
        <v>0</v>
      </c>
      <c r="O50" s="26">
        <f>K50/G50</f>
        <v>5.4280255025502553E-3</v>
      </c>
      <c r="P50" s="27">
        <f>K50/I50</f>
        <v>0.82234586363636364</v>
      </c>
      <c r="Q50" s="22" t="b">
        <v>1</v>
      </c>
    </row>
    <row r="51" spans="1:17" x14ac:dyDescent="0.15">
      <c r="A51" s="13">
        <v>50</v>
      </c>
      <c r="B51" s="13">
        <v>13623</v>
      </c>
      <c r="C51" s="16">
        <v>6</v>
      </c>
      <c r="D51" s="17" t="s">
        <v>1475</v>
      </c>
      <c r="E51" s="17" t="s">
        <v>107</v>
      </c>
      <c r="F51" s="12">
        <v>6057</v>
      </c>
      <c r="G51" s="12">
        <f>F51*1000000</f>
        <v>6057000000</v>
      </c>
      <c r="H51" s="12">
        <v>279</v>
      </c>
      <c r="I51" s="12">
        <f>H51*1000000</f>
        <v>279000000</v>
      </c>
      <c r="J51" s="17" t="s">
        <v>108</v>
      </c>
      <c r="K51" s="12">
        <v>155000000</v>
      </c>
      <c r="L51" s="4">
        <v>52300</v>
      </c>
      <c r="M51" s="4">
        <v>769</v>
      </c>
      <c r="N51" s="13">
        <v>1</v>
      </c>
      <c r="O51" s="18">
        <f>K51/G51</f>
        <v>2.5590226184579824E-2</v>
      </c>
      <c r="P51" s="19">
        <f>K51/I51</f>
        <v>0.55555555555555558</v>
      </c>
      <c r="Q51" s="13"/>
    </row>
    <row r="52" spans="1:17" x14ac:dyDescent="0.15">
      <c r="A52" s="13">
        <v>51</v>
      </c>
      <c r="B52" s="13">
        <v>13450</v>
      </c>
      <c r="C52" s="16">
        <v>7</v>
      </c>
      <c r="D52" s="17" t="s">
        <v>1476</v>
      </c>
      <c r="E52" s="17" t="s">
        <v>109</v>
      </c>
      <c r="F52" s="12">
        <v>12174</v>
      </c>
      <c r="G52" s="12">
        <f>F52*1000000</f>
        <v>12174000000</v>
      </c>
      <c r="H52" s="12">
        <v>641</v>
      </c>
      <c r="I52" s="12">
        <f>H52*1000000</f>
        <v>641000000</v>
      </c>
      <c r="J52" s="17" t="s">
        <v>110</v>
      </c>
      <c r="K52" s="12">
        <v>180000000</v>
      </c>
      <c r="L52" s="4">
        <v>70000</v>
      </c>
      <c r="M52" s="4">
        <v>1000</v>
      </c>
      <c r="N52" s="13">
        <v>1</v>
      </c>
      <c r="O52" s="18">
        <f>K52/G52</f>
        <v>1.4785608674223755E-2</v>
      </c>
      <c r="P52" s="19">
        <f>K52/I52</f>
        <v>0.28081123244929795</v>
      </c>
      <c r="Q52" s="13"/>
    </row>
    <row r="53" spans="1:17" x14ac:dyDescent="0.15">
      <c r="A53" s="13">
        <v>52</v>
      </c>
      <c r="B53" s="13">
        <v>13325</v>
      </c>
      <c r="C53" s="16">
        <v>17</v>
      </c>
      <c r="D53" s="17" t="s">
        <v>1486</v>
      </c>
      <c r="E53" s="17" t="s">
        <v>111</v>
      </c>
      <c r="F53" s="12">
        <v>7933</v>
      </c>
      <c r="G53" s="12">
        <f>F53*1000000</f>
        <v>7933000000</v>
      </c>
      <c r="H53" s="12">
        <v>153</v>
      </c>
      <c r="I53" s="12">
        <f>H53*1000000</f>
        <v>153000000</v>
      </c>
      <c r="J53" s="17" t="s">
        <v>112</v>
      </c>
      <c r="K53" s="12">
        <v>29500000</v>
      </c>
      <c r="L53" s="4">
        <v>65000</v>
      </c>
      <c r="M53" s="4">
        <v>130</v>
      </c>
      <c r="N53" s="13">
        <v>1</v>
      </c>
      <c r="O53" s="18">
        <f>K53/G53</f>
        <v>3.718643640489096E-3</v>
      </c>
      <c r="P53" s="19">
        <f>K53/I53</f>
        <v>0.19281045751633988</v>
      </c>
      <c r="Q53" s="13"/>
    </row>
    <row r="54" spans="1:17" x14ac:dyDescent="0.15">
      <c r="A54" s="13">
        <v>53</v>
      </c>
      <c r="B54" s="13">
        <v>13174</v>
      </c>
      <c r="C54" s="16">
        <v>12</v>
      </c>
      <c r="D54" s="17" t="s">
        <v>1481</v>
      </c>
      <c r="E54" s="17" t="s">
        <v>113</v>
      </c>
      <c r="F54" s="12">
        <v>4507</v>
      </c>
      <c r="G54" s="12">
        <f>F54*1000000</f>
        <v>4507000000</v>
      </c>
      <c r="H54" s="12">
        <v>211</v>
      </c>
      <c r="I54" s="12">
        <f>H54*1000000</f>
        <v>211000000</v>
      </c>
      <c r="J54" s="17" t="s">
        <v>114</v>
      </c>
      <c r="K54" s="12">
        <v>82000000</v>
      </c>
      <c r="L54" s="4">
        <v>40000</v>
      </c>
      <c r="M54" s="4">
        <v>700</v>
      </c>
      <c r="N54" s="13">
        <v>1</v>
      </c>
      <c r="O54" s="18">
        <f>K54/G54</f>
        <v>1.8193920568005326E-2</v>
      </c>
      <c r="P54" s="19">
        <f>K54/I54</f>
        <v>0.38862559241706163</v>
      </c>
      <c r="Q54" s="13"/>
    </row>
    <row r="55" spans="1:17" x14ac:dyDescent="0.15">
      <c r="A55" s="22">
        <v>54</v>
      </c>
      <c r="B55" s="22">
        <v>13171</v>
      </c>
      <c r="C55" s="23">
        <v>1</v>
      </c>
      <c r="D55" s="24" t="s">
        <v>1470</v>
      </c>
      <c r="E55" s="24" t="s">
        <v>115</v>
      </c>
      <c r="F55" s="25">
        <v>2391</v>
      </c>
      <c r="G55" s="25">
        <f>F55*1000000</f>
        <v>2391000000</v>
      </c>
      <c r="H55" s="25">
        <v>-8</v>
      </c>
      <c r="I55" s="25">
        <f>H55*1000000</f>
        <v>-8000000</v>
      </c>
      <c r="J55" s="24" t="s">
        <v>116</v>
      </c>
      <c r="K55" s="25">
        <v>43542903</v>
      </c>
      <c r="L55" s="23">
        <v>21000</v>
      </c>
      <c r="M55" s="23">
        <v>328</v>
      </c>
      <c r="N55" s="22">
        <v>0</v>
      </c>
      <c r="O55" s="26">
        <f>K55/G55</f>
        <v>1.8211168130489334E-2</v>
      </c>
      <c r="P55" s="27">
        <f>K55/I55</f>
        <v>-5.4428628750000003</v>
      </c>
      <c r="Q55" s="22" t="b">
        <v>1</v>
      </c>
    </row>
    <row r="56" spans="1:17" x14ac:dyDescent="0.15">
      <c r="A56" s="22">
        <v>55</v>
      </c>
      <c r="B56" s="22">
        <v>13073</v>
      </c>
      <c r="C56" s="23">
        <v>5</v>
      </c>
      <c r="D56" s="24" t="s">
        <v>1474</v>
      </c>
      <c r="E56" s="24" t="s">
        <v>117</v>
      </c>
      <c r="F56" s="25">
        <v>15734</v>
      </c>
      <c r="G56" s="25">
        <f>F56*1000000</f>
        <v>15734000000</v>
      </c>
      <c r="H56" s="25">
        <v>2006</v>
      </c>
      <c r="I56" s="25">
        <f>H56*1000000</f>
        <v>2006000000</v>
      </c>
      <c r="J56" s="24" t="s">
        <v>118</v>
      </c>
      <c r="K56" s="25">
        <v>295240601</v>
      </c>
      <c r="L56" s="23" t="s">
        <v>63</v>
      </c>
      <c r="M56" s="23">
        <v>1332</v>
      </c>
      <c r="N56" s="22">
        <v>0</v>
      </c>
      <c r="O56" s="26">
        <f>K56/G56</f>
        <v>1.8764497330621584E-2</v>
      </c>
      <c r="P56" s="27">
        <f>K56/I56</f>
        <v>0.14717876420737785</v>
      </c>
      <c r="Q56" s="22" t="b">
        <v>1</v>
      </c>
    </row>
    <row r="57" spans="1:17" x14ac:dyDescent="0.15">
      <c r="A57" s="22">
        <v>56</v>
      </c>
      <c r="B57" s="22">
        <v>12588</v>
      </c>
      <c r="C57" s="23">
        <v>17</v>
      </c>
      <c r="D57" s="24" t="s">
        <v>1486</v>
      </c>
      <c r="E57" s="24" t="s">
        <v>119</v>
      </c>
      <c r="F57" s="25">
        <v>8746</v>
      </c>
      <c r="G57" s="25">
        <f>F57*1000000</f>
        <v>8746000000</v>
      </c>
      <c r="H57" s="25">
        <v>532</v>
      </c>
      <c r="I57" s="25">
        <f>H57*1000000</f>
        <v>532000000</v>
      </c>
      <c r="J57" s="24" t="s">
        <v>120</v>
      </c>
      <c r="K57" s="25">
        <v>47473512</v>
      </c>
      <c r="L57" s="23">
        <v>55000</v>
      </c>
      <c r="M57" s="23">
        <v>289</v>
      </c>
      <c r="N57" s="22">
        <v>0</v>
      </c>
      <c r="O57" s="26">
        <f>K57/G57</f>
        <v>5.4280256117082096E-3</v>
      </c>
      <c r="P57" s="27">
        <f>K57/I57</f>
        <v>8.9235924812030076E-2</v>
      </c>
      <c r="Q57" s="22" t="b">
        <v>1</v>
      </c>
    </row>
    <row r="58" spans="1:17" x14ac:dyDescent="0.15">
      <c r="A58" s="13">
        <v>57</v>
      </c>
      <c r="B58" s="13">
        <v>12523</v>
      </c>
      <c r="C58" s="16">
        <v>9</v>
      </c>
      <c r="D58" s="17" t="s">
        <v>1478</v>
      </c>
      <c r="E58" s="17" t="s">
        <v>121</v>
      </c>
      <c r="F58" s="12">
        <v>28472</v>
      </c>
      <c r="G58" s="12">
        <f>F58*1000000</f>
        <v>28472000000</v>
      </c>
      <c r="H58" s="12">
        <v>1784</v>
      </c>
      <c r="I58" s="12">
        <f>H58*1000000</f>
        <v>1784000000</v>
      </c>
      <c r="J58" s="17" t="s">
        <v>122</v>
      </c>
      <c r="K58" s="12">
        <v>500000000</v>
      </c>
      <c r="L58" s="4">
        <v>471000</v>
      </c>
      <c r="M58" s="4">
        <v>1800</v>
      </c>
      <c r="N58" s="13">
        <v>1</v>
      </c>
      <c r="O58" s="18">
        <f>K58/G58</f>
        <v>1.7561112672098905E-2</v>
      </c>
      <c r="P58" s="19">
        <f>K58/I58</f>
        <v>0.2802690582959641</v>
      </c>
      <c r="Q58" s="13"/>
    </row>
    <row r="59" spans="1:17" x14ac:dyDescent="0.15">
      <c r="A59" s="13">
        <v>58</v>
      </c>
      <c r="B59" s="13">
        <v>12507</v>
      </c>
      <c r="C59" s="16">
        <v>10</v>
      </c>
      <c r="D59" s="17" t="s">
        <v>1479</v>
      </c>
      <c r="E59" s="17" t="s">
        <v>123</v>
      </c>
      <c r="F59" s="12">
        <v>3300</v>
      </c>
      <c r="G59" s="12">
        <f>F59*1000000</f>
        <v>3300000000</v>
      </c>
      <c r="H59" s="12">
        <v>194</v>
      </c>
      <c r="I59" s="12">
        <f>H59*1000000</f>
        <v>194000000</v>
      </c>
      <c r="J59" s="17" t="s">
        <v>124</v>
      </c>
      <c r="K59" s="12">
        <v>75000000</v>
      </c>
      <c r="L59" s="4">
        <v>68000</v>
      </c>
      <c r="M59" s="4">
        <v>27</v>
      </c>
      <c r="N59" s="13">
        <v>1</v>
      </c>
      <c r="O59" s="18">
        <f>K59/G59</f>
        <v>2.2727272727272728E-2</v>
      </c>
      <c r="P59" s="19">
        <f>K59/I59</f>
        <v>0.38659793814432991</v>
      </c>
      <c r="Q59" s="13"/>
    </row>
    <row r="60" spans="1:17" x14ac:dyDescent="0.15">
      <c r="A60" s="22">
        <v>59</v>
      </c>
      <c r="B60" s="22">
        <v>12499</v>
      </c>
      <c r="C60" s="23">
        <v>2</v>
      </c>
      <c r="D60" s="24" t="s">
        <v>1471</v>
      </c>
      <c r="E60" s="24" t="s">
        <v>125</v>
      </c>
      <c r="F60" s="25">
        <v>31650</v>
      </c>
      <c r="G60" s="25">
        <f>F60*1000000</f>
        <v>31650000000</v>
      </c>
      <c r="H60" s="25">
        <v>3422</v>
      </c>
      <c r="I60" s="25">
        <f>H60*1000000</f>
        <v>3422000000</v>
      </c>
      <c r="J60" s="24" t="s">
        <v>126</v>
      </c>
      <c r="K60" s="25">
        <v>1547015156</v>
      </c>
      <c r="L60" s="23">
        <v>80000</v>
      </c>
      <c r="M60" s="23">
        <v>9000</v>
      </c>
      <c r="N60" s="22">
        <v>0</v>
      </c>
      <c r="O60" s="26">
        <f>K60/G60</f>
        <v>4.8878835892575037E-2</v>
      </c>
      <c r="P60" s="27">
        <f>K60/I60</f>
        <v>0.45207923904149622</v>
      </c>
      <c r="Q60" s="22" t="b">
        <v>1</v>
      </c>
    </row>
    <row r="61" spans="1:17" x14ac:dyDescent="0.15">
      <c r="A61" s="22">
        <v>60</v>
      </c>
      <c r="B61" s="22">
        <v>12465</v>
      </c>
      <c r="C61" s="23">
        <v>16</v>
      </c>
      <c r="D61" s="24" t="s">
        <v>1485</v>
      </c>
      <c r="E61" s="24" t="s">
        <v>127</v>
      </c>
      <c r="F61" s="25">
        <v>3976</v>
      </c>
      <c r="G61" s="25">
        <f>F61*1000000</f>
        <v>3976000000</v>
      </c>
      <c r="H61" s="22" t="s">
        <v>63</v>
      </c>
      <c r="I61" s="25" t="e">
        <f>H61*1000000</f>
        <v>#VALUE!</v>
      </c>
      <c r="J61" s="24" t="s">
        <v>128</v>
      </c>
      <c r="K61" s="25">
        <v>91754820</v>
      </c>
      <c r="L61" s="23">
        <v>50122</v>
      </c>
      <c r="M61" s="23">
        <v>377</v>
      </c>
      <c r="N61" s="22">
        <v>0</v>
      </c>
      <c r="O61" s="26">
        <f>K61/G61</f>
        <v>2.307716800804829E-2</v>
      </c>
      <c r="P61" s="27" t="e">
        <f>K61/I61</f>
        <v>#VALUE!</v>
      </c>
      <c r="Q61" s="22" t="b">
        <v>1</v>
      </c>
    </row>
    <row r="62" spans="1:17" x14ac:dyDescent="0.15">
      <c r="A62" s="13">
        <v>61</v>
      </c>
      <c r="B62" s="13">
        <v>12382</v>
      </c>
      <c r="C62" s="16">
        <v>16</v>
      </c>
      <c r="D62" s="17" t="s">
        <v>1485</v>
      </c>
      <c r="E62" s="17" t="s">
        <v>129</v>
      </c>
      <c r="F62" s="12">
        <v>5612</v>
      </c>
      <c r="G62" s="12">
        <f>F62*1000000</f>
        <v>5612000000</v>
      </c>
      <c r="H62" s="13" t="s">
        <v>63</v>
      </c>
      <c r="I62" s="12" t="e">
        <f>H62*1000000</f>
        <v>#VALUE!</v>
      </c>
      <c r="J62" s="17" t="s">
        <v>130</v>
      </c>
      <c r="K62" s="12">
        <v>250000000</v>
      </c>
      <c r="L62" s="4">
        <v>65500</v>
      </c>
      <c r="M62" s="4">
        <v>300</v>
      </c>
      <c r="N62" s="13">
        <v>1</v>
      </c>
      <c r="O62" s="18">
        <f>K62/G62</f>
        <v>4.4547398431931576E-2</v>
      </c>
      <c r="P62" s="19" t="e">
        <f>K62/I62</f>
        <v>#VALUE!</v>
      </c>
      <c r="Q62" s="13"/>
    </row>
    <row r="63" spans="1:17" x14ac:dyDescent="0.15">
      <c r="A63" s="22">
        <v>62</v>
      </c>
      <c r="B63" s="22">
        <v>12381</v>
      </c>
      <c r="C63" s="23">
        <v>2</v>
      </c>
      <c r="D63" s="24" t="s">
        <v>1471</v>
      </c>
      <c r="E63" s="24" t="s">
        <v>131</v>
      </c>
      <c r="F63" s="25">
        <v>16531</v>
      </c>
      <c r="G63" s="25">
        <f>F63*1000000</f>
        <v>16531000000</v>
      </c>
      <c r="H63" s="25">
        <v>2176</v>
      </c>
      <c r="I63" s="25">
        <f>H63*1000000</f>
        <v>2176000000</v>
      </c>
      <c r="J63" s="24" t="s">
        <v>132</v>
      </c>
      <c r="K63" s="25">
        <v>808016036</v>
      </c>
      <c r="L63" s="23">
        <v>96428</v>
      </c>
      <c r="M63" s="23">
        <v>3719</v>
      </c>
      <c r="N63" s="22">
        <v>0</v>
      </c>
      <c r="O63" s="26">
        <f>K63/G63</f>
        <v>4.8878835884096548E-2</v>
      </c>
      <c r="P63" s="27">
        <f>K63/I63</f>
        <v>0.37133089889705884</v>
      </c>
      <c r="Q63" s="22" t="b">
        <v>1</v>
      </c>
    </row>
    <row r="64" spans="1:17" x14ac:dyDescent="0.15">
      <c r="A64" s="22">
        <v>63</v>
      </c>
      <c r="B64" s="22">
        <v>12300</v>
      </c>
      <c r="C64" s="23">
        <v>13</v>
      </c>
      <c r="D64" s="24" t="s">
        <v>1482</v>
      </c>
      <c r="E64" s="24" t="s">
        <v>133</v>
      </c>
      <c r="F64" s="25">
        <v>7396</v>
      </c>
      <c r="G64" s="25">
        <f>F64*1000000</f>
        <v>7396000000</v>
      </c>
      <c r="H64" s="25">
        <v>-91</v>
      </c>
      <c r="I64" s="25">
        <f>H64*1000000</f>
        <v>-91000000</v>
      </c>
      <c r="J64" s="24" t="s">
        <v>134</v>
      </c>
      <c r="K64" s="25">
        <v>101865792</v>
      </c>
      <c r="L64" s="23">
        <v>50000</v>
      </c>
      <c r="M64" s="23">
        <v>577</v>
      </c>
      <c r="N64" s="22">
        <v>0</v>
      </c>
      <c r="O64" s="26">
        <f>K64/G64</f>
        <v>1.3773092482422932E-2</v>
      </c>
      <c r="P64" s="27">
        <f>K64/I64</f>
        <v>-1.1194043076923077</v>
      </c>
      <c r="Q64" s="22" t="b">
        <v>1</v>
      </c>
    </row>
    <row r="65" spans="1:18" x14ac:dyDescent="0.15">
      <c r="A65" s="22">
        <v>64</v>
      </c>
      <c r="B65" s="22">
        <v>12085</v>
      </c>
      <c r="C65" s="23">
        <v>9</v>
      </c>
      <c r="D65" s="24" t="s">
        <v>1478</v>
      </c>
      <c r="E65" s="24" t="s">
        <v>135</v>
      </c>
      <c r="F65" s="25">
        <v>12054</v>
      </c>
      <c r="G65" s="25">
        <f>F65*1000000</f>
        <v>12054000000</v>
      </c>
      <c r="H65" s="25">
        <v>1032</v>
      </c>
      <c r="I65" s="25">
        <f>H65*1000000</f>
        <v>1032000000</v>
      </c>
      <c r="J65" s="24" t="s">
        <v>136</v>
      </c>
      <c r="K65" s="25">
        <v>143274066</v>
      </c>
      <c r="L65" s="23">
        <v>42622</v>
      </c>
      <c r="M65" s="23">
        <v>1143</v>
      </c>
      <c r="N65" s="22">
        <v>0</v>
      </c>
      <c r="O65" s="26">
        <f>K65/G65</f>
        <v>1.1886018417122947E-2</v>
      </c>
      <c r="P65" s="27">
        <f>K65/I65</f>
        <v>0.13883145930232557</v>
      </c>
      <c r="Q65" s="22" t="b">
        <v>1</v>
      </c>
      <c r="R65" s="13"/>
    </row>
    <row r="66" spans="1:18" x14ac:dyDescent="0.15">
      <c r="A66" s="13">
        <v>65</v>
      </c>
      <c r="B66" s="13">
        <v>12040</v>
      </c>
      <c r="C66" s="16">
        <v>18</v>
      </c>
      <c r="D66" s="17" t="s">
        <v>1487</v>
      </c>
      <c r="E66" s="17" t="s">
        <v>137</v>
      </c>
      <c r="F66" s="12">
        <v>13338</v>
      </c>
      <c r="G66" s="12">
        <f>F66*1000000</f>
        <v>13338000000</v>
      </c>
      <c r="H66" s="12">
        <v>963</v>
      </c>
      <c r="I66" s="12">
        <f>H66*1000000</f>
        <v>963000000</v>
      </c>
      <c r="J66" s="17" t="s">
        <v>138</v>
      </c>
      <c r="K66" s="12">
        <v>11000000</v>
      </c>
      <c r="L66" s="4">
        <v>101</v>
      </c>
      <c r="M66" s="4">
        <v>100</v>
      </c>
      <c r="N66" s="13">
        <v>1</v>
      </c>
      <c r="O66" s="18">
        <f>K66/G66</f>
        <v>8.2471135102714051E-4</v>
      </c>
      <c r="P66" s="19">
        <f>K66/I66</f>
        <v>1.142263759086189E-2</v>
      </c>
      <c r="Q66" s="13"/>
      <c r="R66" s="13"/>
    </row>
    <row r="67" spans="1:18" x14ac:dyDescent="0.15">
      <c r="A67" s="13">
        <v>66</v>
      </c>
      <c r="B67" s="13">
        <v>11811</v>
      </c>
      <c r="C67" s="16">
        <v>19</v>
      </c>
      <c r="D67" s="17" t="s">
        <v>1488</v>
      </c>
      <c r="E67" s="17" t="s">
        <v>139</v>
      </c>
      <c r="F67" s="12">
        <v>17782</v>
      </c>
      <c r="G67" s="12">
        <f>F67*1000000</f>
        <v>17782000000</v>
      </c>
      <c r="H67" s="13" t="s">
        <v>63</v>
      </c>
      <c r="I67" s="12" t="e">
        <f>H67*1000000</f>
        <v>#VALUE!</v>
      </c>
      <c r="J67" s="17" t="s">
        <v>140</v>
      </c>
      <c r="K67" s="12">
        <v>600000000</v>
      </c>
      <c r="L67" s="4">
        <v>286000</v>
      </c>
      <c r="M67" s="4">
        <v>4000</v>
      </c>
      <c r="N67" s="13">
        <v>1</v>
      </c>
      <c r="O67" s="18">
        <f>K67/G67</f>
        <v>3.3741986278258911E-2</v>
      </c>
      <c r="P67" s="19" t="e">
        <f>K67/I67</f>
        <v>#VALUE!</v>
      </c>
      <c r="Q67" s="13"/>
    </row>
    <row r="68" spans="1:18" x14ac:dyDescent="0.15">
      <c r="A68" s="22">
        <v>67</v>
      </c>
      <c r="B68" s="22">
        <v>11798</v>
      </c>
      <c r="C68" s="23">
        <v>6</v>
      </c>
      <c r="D68" s="24" t="s">
        <v>1475</v>
      </c>
      <c r="E68" s="24" t="s">
        <v>141</v>
      </c>
      <c r="F68" s="25">
        <v>22245</v>
      </c>
      <c r="G68" s="25">
        <f>F68*1000000</f>
        <v>22245000000</v>
      </c>
      <c r="H68" s="25">
        <v>1560</v>
      </c>
      <c r="I68" s="25">
        <f>H68*1000000</f>
        <v>1560000000</v>
      </c>
      <c r="J68" s="24" t="s">
        <v>25</v>
      </c>
      <c r="K68" s="25">
        <v>594037438</v>
      </c>
      <c r="L68" s="23">
        <v>132000</v>
      </c>
      <c r="M68" s="23">
        <v>2824</v>
      </c>
      <c r="N68" s="22">
        <v>0</v>
      </c>
      <c r="O68" s="26">
        <f>K68/G68</f>
        <v>2.6704312789390873E-2</v>
      </c>
      <c r="P68" s="27">
        <f>K68/I68</f>
        <v>0.38079322948717947</v>
      </c>
      <c r="Q68" s="22" t="b">
        <v>1</v>
      </c>
    </row>
    <row r="69" spans="1:18" x14ac:dyDescent="0.15">
      <c r="A69" s="13">
        <v>68</v>
      </c>
      <c r="B69" s="13">
        <v>11706</v>
      </c>
      <c r="C69" s="16">
        <v>11</v>
      </c>
      <c r="D69" s="17" t="s">
        <v>1480</v>
      </c>
      <c r="E69" s="17" t="s">
        <v>142</v>
      </c>
      <c r="F69" s="12">
        <v>18392</v>
      </c>
      <c r="G69" s="12">
        <f>F69*1000000</f>
        <v>18392000000</v>
      </c>
      <c r="H69" s="12">
        <v>554</v>
      </c>
      <c r="I69" s="12">
        <f>H69*1000000</f>
        <v>554000000</v>
      </c>
      <c r="J69" s="17" t="s">
        <v>143</v>
      </c>
      <c r="K69" s="12">
        <v>465000000</v>
      </c>
      <c r="L69" s="4">
        <v>49000</v>
      </c>
      <c r="M69" s="4">
        <v>3000</v>
      </c>
      <c r="N69" s="13">
        <v>1</v>
      </c>
      <c r="O69" s="18">
        <f>K69/G69</f>
        <v>2.528273162244454E-2</v>
      </c>
      <c r="P69" s="19">
        <f>K69/I69</f>
        <v>0.83935018050541521</v>
      </c>
      <c r="Q69" s="13"/>
    </row>
    <row r="70" spans="1:18" x14ac:dyDescent="0.15">
      <c r="A70" s="22">
        <v>69</v>
      </c>
      <c r="B70" s="22">
        <v>11675</v>
      </c>
      <c r="C70" s="23">
        <v>14</v>
      </c>
      <c r="D70" s="24" t="s">
        <v>1483</v>
      </c>
      <c r="E70" s="24" t="s">
        <v>144</v>
      </c>
      <c r="F70" s="25">
        <v>9904</v>
      </c>
      <c r="G70" s="25">
        <f>F70*1000000</f>
        <v>9904000000</v>
      </c>
      <c r="H70" s="25">
        <v>143</v>
      </c>
      <c r="I70" s="25">
        <f>H70*1000000</f>
        <v>143000000</v>
      </c>
      <c r="J70" s="24" t="s">
        <v>145</v>
      </c>
      <c r="K70" s="25">
        <v>80544446</v>
      </c>
      <c r="L70" s="23">
        <v>61700</v>
      </c>
      <c r="M70" s="23">
        <v>554</v>
      </c>
      <c r="N70" s="22">
        <v>0</v>
      </c>
      <c r="O70" s="26">
        <f>K70/G70</f>
        <v>8.1325167609046858E-3</v>
      </c>
      <c r="P70" s="27">
        <f>K70/I70</f>
        <v>0.56324787412587407</v>
      </c>
      <c r="Q70" s="22" t="b">
        <v>1</v>
      </c>
    </row>
    <row r="71" spans="1:18" x14ac:dyDescent="0.15">
      <c r="A71" s="13">
        <v>70</v>
      </c>
      <c r="B71" s="13">
        <v>11632</v>
      </c>
      <c r="C71" s="16">
        <v>1</v>
      </c>
      <c r="D71" s="17" t="s">
        <v>1470</v>
      </c>
      <c r="E71" s="17" t="s">
        <v>146</v>
      </c>
      <c r="F71" s="12">
        <v>6614</v>
      </c>
      <c r="G71" s="12">
        <f>F71*1000000</f>
        <v>6614000000</v>
      </c>
      <c r="H71" s="12">
        <v>228</v>
      </c>
      <c r="I71" s="12">
        <f>H71*1000000</f>
        <v>228000000</v>
      </c>
      <c r="J71" s="17" t="s">
        <v>147</v>
      </c>
      <c r="K71" s="12">
        <v>7500000</v>
      </c>
      <c r="L71" s="4">
        <v>36000</v>
      </c>
      <c r="M71" s="4" t="s">
        <v>63</v>
      </c>
      <c r="N71" s="13">
        <v>1</v>
      </c>
      <c r="O71" s="18">
        <f>K71/G71</f>
        <v>1.1339582703356517E-3</v>
      </c>
      <c r="P71" s="19">
        <f>K71/I71</f>
        <v>3.2894736842105261E-2</v>
      </c>
      <c r="Q71" s="13"/>
    </row>
    <row r="72" spans="1:18" x14ac:dyDescent="0.15">
      <c r="A72" s="13">
        <v>71</v>
      </c>
      <c r="B72" s="13">
        <v>11592</v>
      </c>
      <c r="C72" s="16">
        <v>13</v>
      </c>
      <c r="D72" s="17" t="s">
        <v>1482</v>
      </c>
      <c r="E72" s="17" t="s">
        <v>148</v>
      </c>
      <c r="F72" s="12">
        <v>7363</v>
      </c>
      <c r="G72" s="12">
        <f>F72*1000000</f>
        <v>7363000000</v>
      </c>
      <c r="H72" s="12">
        <v>131</v>
      </c>
      <c r="I72" s="12">
        <f>H72*1000000</f>
        <v>131000000</v>
      </c>
      <c r="J72" s="17" t="s">
        <v>149</v>
      </c>
      <c r="K72" s="12">
        <v>175000000</v>
      </c>
      <c r="L72" s="4">
        <v>17500</v>
      </c>
      <c r="M72" s="4">
        <v>900</v>
      </c>
      <c r="N72" s="13">
        <v>1</v>
      </c>
      <c r="O72" s="18">
        <f>K72/G72</f>
        <v>2.376748607904387E-2</v>
      </c>
      <c r="P72" s="19">
        <f>K72/I72</f>
        <v>1.3358778625954197</v>
      </c>
      <c r="Q72" s="13"/>
    </row>
    <row r="73" spans="1:18" x14ac:dyDescent="0.15">
      <c r="A73" s="13">
        <v>72</v>
      </c>
      <c r="B73" s="13">
        <v>11590</v>
      </c>
      <c r="C73" s="16">
        <v>1</v>
      </c>
      <c r="D73" s="17" t="s">
        <v>1470</v>
      </c>
      <c r="E73" s="17" t="s">
        <v>150</v>
      </c>
      <c r="F73" s="12">
        <v>6711</v>
      </c>
      <c r="G73" s="12">
        <f>F73*1000000</f>
        <v>6711000000</v>
      </c>
      <c r="H73" s="12">
        <v>35</v>
      </c>
      <c r="I73" s="12">
        <f>H73*1000000</f>
        <v>35000000</v>
      </c>
      <c r="J73" s="17" t="s">
        <v>151</v>
      </c>
      <c r="K73" s="12">
        <v>320000000</v>
      </c>
      <c r="L73" s="4">
        <v>40000</v>
      </c>
      <c r="M73" s="4">
        <v>2000</v>
      </c>
      <c r="N73" s="13">
        <v>1</v>
      </c>
      <c r="O73" s="18">
        <f>K73/G73</f>
        <v>4.7682908657428101E-2</v>
      </c>
      <c r="P73" s="19">
        <f>K73/I73</f>
        <v>9.1428571428571423</v>
      </c>
      <c r="Q73" s="13"/>
    </row>
    <row r="74" spans="1:18" x14ac:dyDescent="0.15">
      <c r="A74" s="13">
        <v>73</v>
      </c>
      <c r="B74" s="13">
        <v>11567</v>
      </c>
      <c r="C74" s="16">
        <v>9</v>
      </c>
      <c r="D74" s="17" t="s">
        <v>1478</v>
      </c>
      <c r="E74" s="17" t="s">
        <v>152</v>
      </c>
      <c r="F74" s="12">
        <v>10943</v>
      </c>
      <c r="G74" s="12">
        <f>F74*1000000</f>
        <v>10943000000</v>
      </c>
      <c r="H74" s="12">
        <v>217</v>
      </c>
      <c r="I74" s="12">
        <f>H74*1000000</f>
        <v>217000000</v>
      </c>
      <c r="J74" s="17" t="s">
        <v>153</v>
      </c>
      <c r="K74" s="12">
        <v>28000000</v>
      </c>
      <c r="L74" s="4">
        <v>26000</v>
      </c>
      <c r="M74" s="4">
        <v>500</v>
      </c>
      <c r="N74" s="13">
        <v>1</v>
      </c>
      <c r="O74" s="18">
        <f>K74/G74</f>
        <v>2.5587133327241158E-3</v>
      </c>
      <c r="P74" s="19">
        <f>K74/I74</f>
        <v>0.12903225806451613</v>
      </c>
      <c r="Q74" s="13"/>
    </row>
    <row r="75" spans="1:18" x14ac:dyDescent="0.15">
      <c r="A75" s="13">
        <v>74</v>
      </c>
      <c r="B75" s="13">
        <v>11495</v>
      </c>
      <c r="C75" s="16">
        <v>7</v>
      </c>
      <c r="D75" s="17" t="s">
        <v>1476</v>
      </c>
      <c r="E75" s="17" t="s">
        <v>154</v>
      </c>
      <c r="F75" s="12">
        <v>10097</v>
      </c>
      <c r="G75" s="12">
        <f>F75*1000000</f>
        <v>10097000000</v>
      </c>
      <c r="H75" s="12">
        <v>784</v>
      </c>
      <c r="I75" s="12">
        <f>H75*1000000</f>
        <v>784000000</v>
      </c>
      <c r="J75" s="17" t="s">
        <v>155</v>
      </c>
      <c r="K75" s="12">
        <v>80600000</v>
      </c>
      <c r="L75" s="4">
        <v>74000</v>
      </c>
      <c r="M75" s="4">
        <v>500</v>
      </c>
      <c r="N75" s="13">
        <v>1</v>
      </c>
      <c r="O75" s="18">
        <f>K75/G75</f>
        <v>7.9825690799247302E-3</v>
      </c>
      <c r="P75" s="19">
        <f>K75/I75</f>
        <v>0.10280612244897959</v>
      </c>
      <c r="Q75" s="13"/>
    </row>
    <row r="76" spans="1:18" x14ac:dyDescent="0.15">
      <c r="A76" s="13">
        <v>75</v>
      </c>
      <c r="B76" s="13">
        <v>11492</v>
      </c>
      <c r="C76" s="16">
        <v>12</v>
      </c>
      <c r="D76" s="17" t="s">
        <v>1481</v>
      </c>
      <c r="E76" s="17" t="s">
        <v>156</v>
      </c>
      <c r="F76" s="12">
        <v>4710</v>
      </c>
      <c r="G76" s="12">
        <f>F76*1000000</f>
        <v>4710000000</v>
      </c>
      <c r="H76" s="12">
        <v>150</v>
      </c>
      <c r="I76" s="12">
        <f>H76*1000000</f>
        <v>150000000</v>
      </c>
      <c r="J76" s="17" t="s">
        <v>88</v>
      </c>
      <c r="K76" s="12">
        <v>110000000</v>
      </c>
      <c r="L76" s="4">
        <v>40000</v>
      </c>
      <c r="M76" s="4">
        <v>700</v>
      </c>
      <c r="N76" s="13">
        <v>1</v>
      </c>
      <c r="O76" s="18">
        <f>K76/G76</f>
        <v>2.3354564755838639E-2</v>
      </c>
      <c r="P76" s="19">
        <f>K76/I76</f>
        <v>0.73333333333333328</v>
      </c>
      <c r="Q76" s="13"/>
    </row>
    <row r="77" spans="1:18" x14ac:dyDescent="0.15">
      <c r="A77" s="22">
        <v>76</v>
      </c>
      <c r="B77" s="22">
        <v>11451</v>
      </c>
      <c r="C77" s="23">
        <v>6</v>
      </c>
      <c r="D77" s="24" t="s">
        <v>1475</v>
      </c>
      <c r="E77" s="24" t="s">
        <v>157</v>
      </c>
      <c r="F77" s="25">
        <v>5484</v>
      </c>
      <c r="G77" s="25">
        <f>F77*1000000</f>
        <v>5484000000</v>
      </c>
      <c r="H77" s="25">
        <v>288</v>
      </c>
      <c r="I77" s="25">
        <f>H77*1000000</f>
        <v>288000000</v>
      </c>
      <c r="J77" s="24" t="s">
        <v>158</v>
      </c>
      <c r="K77" s="25">
        <v>146446451</v>
      </c>
      <c r="L77" s="23">
        <v>32600</v>
      </c>
      <c r="M77" s="23">
        <v>696</v>
      </c>
      <c r="N77" s="22">
        <v>0</v>
      </c>
      <c r="O77" s="26">
        <f>K77/G77</f>
        <v>2.6704312727935813E-2</v>
      </c>
      <c r="P77" s="27">
        <f>K77/I77</f>
        <v>0.5084946215277778</v>
      </c>
      <c r="Q77" s="22" t="b">
        <v>1</v>
      </c>
    </row>
    <row r="78" spans="1:18" x14ac:dyDescent="0.15">
      <c r="A78" s="13">
        <v>77</v>
      </c>
      <c r="B78" s="13">
        <v>11444</v>
      </c>
      <c r="C78" s="16">
        <v>12</v>
      </c>
      <c r="D78" s="17" t="s">
        <v>1481</v>
      </c>
      <c r="E78" s="17" t="s">
        <v>159</v>
      </c>
      <c r="F78" s="12">
        <v>1922</v>
      </c>
      <c r="G78" s="12">
        <f>F78*1000000</f>
        <v>1922000000</v>
      </c>
      <c r="H78" s="13" t="s">
        <v>63</v>
      </c>
      <c r="I78" s="12" t="e">
        <f>H78*1000000</f>
        <v>#VALUE!</v>
      </c>
      <c r="J78" s="17" t="s">
        <v>160</v>
      </c>
      <c r="K78" s="12">
        <v>23000000</v>
      </c>
      <c r="L78" s="4">
        <v>20000</v>
      </c>
      <c r="M78" s="4">
        <v>120</v>
      </c>
      <c r="N78" s="13">
        <v>1</v>
      </c>
      <c r="O78" s="18">
        <f>K78/G78</f>
        <v>1.1966701352757543E-2</v>
      </c>
      <c r="P78" s="19" t="e">
        <f>K78/I78</f>
        <v>#VALUE!</v>
      </c>
      <c r="Q78" s="13"/>
    </row>
    <row r="79" spans="1:18" x14ac:dyDescent="0.15">
      <c r="A79" s="7">
        <v>78</v>
      </c>
      <c r="B79" s="7">
        <v>11419</v>
      </c>
      <c r="C79" s="8">
        <v>14</v>
      </c>
      <c r="D79" s="9" t="s">
        <v>1483</v>
      </c>
      <c r="E79" s="9" t="s">
        <v>161</v>
      </c>
      <c r="F79" s="10">
        <v>12757</v>
      </c>
      <c r="G79" s="10">
        <f>F79*1000000</f>
        <v>12757000000</v>
      </c>
      <c r="H79" s="10">
        <v>321</v>
      </c>
      <c r="I79" s="10">
        <f>H79*1000000</f>
        <v>321000000</v>
      </c>
      <c r="J79" s="9" t="s">
        <v>162</v>
      </c>
      <c r="K79" s="10">
        <v>35574170</v>
      </c>
      <c r="L79" s="8">
        <v>45500</v>
      </c>
      <c r="M79" s="8">
        <v>514</v>
      </c>
      <c r="N79" s="7">
        <v>0</v>
      </c>
      <c r="O79" s="14">
        <f>K79/G79</f>
        <v>2.788599984322333E-3</v>
      </c>
      <c r="P79" s="15">
        <f>K79/I79</f>
        <v>0.11082295950155763</v>
      </c>
      <c r="Q79" s="7"/>
    </row>
    <row r="80" spans="1:18" x14ac:dyDescent="0.15">
      <c r="A80" s="22">
        <v>79</v>
      </c>
      <c r="B80" s="22">
        <v>11399</v>
      </c>
      <c r="C80" s="23">
        <v>6</v>
      </c>
      <c r="D80" s="24" t="s">
        <v>1475</v>
      </c>
      <c r="E80" s="24" t="s">
        <v>163</v>
      </c>
      <c r="F80" s="25">
        <v>6871</v>
      </c>
      <c r="G80" s="25">
        <f>F80*1000000</f>
        <v>6871000000</v>
      </c>
      <c r="H80" s="25">
        <v>165</v>
      </c>
      <c r="I80" s="25">
        <f>H80*1000000</f>
        <v>165000000</v>
      </c>
      <c r="J80" s="24" t="s">
        <v>164</v>
      </c>
      <c r="K80" s="25">
        <v>183592151</v>
      </c>
      <c r="L80" s="23">
        <v>53000</v>
      </c>
      <c r="M80" s="23">
        <v>500</v>
      </c>
      <c r="N80" s="22">
        <v>0</v>
      </c>
      <c r="O80" s="26">
        <f>K80/G80</f>
        <v>2.6719858972493085E-2</v>
      </c>
      <c r="P80" s="27">
        <f>K80/I80</f>
        <v>1.1126797030303031</v>
      </c>
      <c r="Q80" s="22" t="b">
        <v>1</v>
      </c>
    </row>
    <row r="81" spans="1:17" x14ac:dyDescent="0.15">
      <c r="A81" s="7">
        <v>80</v>
      </c>
      <c r="B81" s="7">
        <v>11339</v>
      </c>
      <c r="C81" s="8">
        <v>14</v>
      </c>
      <c r="D81" s="9" t="s">
        <v>1483</v>
      </c>
      <c r="E81" s="9" t="s">
        <v>165</v>
      </c>
      <c r="F81" s="10">
        <v>5471</v>
      </c>
      <c r="G81" s="10">
        <f>F81*1000000</f>
        <v>5471000000</v>
      </c>
      <c r="H81" s="10">
        <v>-13</v>
      </c>
      <c r="I81" s="10">
        <f>H81*1000000</f>
        <v>-13000000</v>
      </c>
      <c r="J81" s="9" t="s">
        <v>166</v>
      </c>
      <c r="K81" s="10">
        <v>68240330</v>
      </c>
      <c r="L81" s="8">
        <v>35000</v>
      </c>
      <c r="M81" s="8">
        <v>471</v>
      </c>
      <c r="N81" s="7">
        <v>0</v>
      </c>
      <c r="O81" s="14">
        <f>K81/G81</f>
        <v>1.2473099981721806E-2</v>
      </c>
      <c r="P81" s="15">
        <f>K81/I81</f>
        <v>-5.2492561538461535</v>
      </c>
      <c r="Q81" s="7"/>
    </row>
    <row r="82" spans="1:17" x14ac:dyDescent="0.15">
      <c r="A82" s="7">
        <v>81</v>
      </c>
      <c r="B82" s="7">
        <v>11004</v>
      </c>
      <c r="C82" s="8">
        <v>12</v>
      </c>
      <c r="D82" s="9" t="s">
        <v>1481</v>
      </c>
      <c r="E82" s="9" t="s">
        <v>167</v>
      </c>
      <c r="F82" s="10">
        <v>52224</v>
      </c>
      <c r="G82" s="10">
        <f>F82*1000000</f>
        <v>52224000000</v>
      </c>
      <c r="H82" s="10">
        <v>3713</v>
      </c>
      <c r="I82" s="10">
        <f>H82*1000000</f>
        <v>3713000000</v>
      </c>
      <c r="J82" s="9" t="s">
        <v>168</v>
      </c>
      <c r="K82" s="10">
        <v>951060043</v>
      </c>
      <c r="L82" s="8">
        <v>128000</v>
      </c>
      <c r="M82" s="8">
        <v>7167</v>
      </c>
      <c r="N82" s="7">
        <v>0</v>
      </c>
      <c r="O82" s="14">
        <f>K82/G82</f>
        <v>1.821116810278799E-2</v>
      </c>
      <c r="P82" s="15">
        <f>K82/I82</f>
        <v>0.25614329194721247</v>
      </c>
      <c r="Q82" s="7"/>
    </row>
    <row r="83" spans="1:17" x14ac:dyDescent="0.15">
      <c r="A83" s="7">
        <v>82</v>
      </c>
      <c r="B83" s="7">
        <v>10631</v>
      </c>
      <c r="C83" s="8">
        <v>9</v>
      </c>
      <c r="D83" s="9" t="s">
        <v>1478</v>
      </c>
      <c r="E83" s="9" t="s">
        <v>169</v>
      </c>
      <c r="F83" s="10">
        <v>15536</v>
      </c>
      <c r="G83" s="10">
        <f>F83*1000000</f>
        <v>15536000000</v>
      </c>
      <c r="H83" s="10">
        <v>234</v>
      </c>
      <c r="I83" s="10">
        <f>H83*1000000</f>
        <v>234000000</v>
      </c>
      <c r="J83" s="9" t="s">
        <v>170</v>
      </c>
      <c r="K83" s="10">
        <v>298359558</v>
      </c>
      <c r="L83" s="8">
        <v>146000</v>
      </c>
      <c r="M83" s="8">
        <v>2984</v>
      </c>
      <c r="N83" s="7">
        <v>0</v>
      </c>
      <c r="O83" s="14">
        <f>K83/G83</f>
        <v>1.9204399974253349E-2</v>
      </c>
      <c r="P83" s="15">
        <f>K83/I83</f>
        <v>1.2750408461538461</v>
      </c>
      <c r="Q83" s="7"/>
    </row>
    <row r="84" spans="1:17" x14ac:dyDescent="0.15">
      <c r="A84" s="13">
        <v>83</v>
      </c>
      <c r="B84" s="13">
        <v>10483</v>
      </c>
      <c r="C84" s="16">
        <v>18</v>
      </c>
      <c r="D84" s="17" t="s">
        <v>1487</v>
      </c>
      <c r="E84" s="17" t="s">
        <v>171</v>
      </c>
      <c r="F84" s="12">
        <v>13791</v>
      </c>
      <c r="G84" s="12">
        <f>F84*1000000</f>
        <v>13791000000</v>
      </c>
      <c r="H84" s="12">
        <v>1402</v>
      </c>
      <c r="I84" s="12">
        <f>H84*1000000</f>
        <v>1402000000</v>
      </c>
      <c r="J84" s="17" t="s">
        <v>172</v>
      </c>
      <c r="K84" s="12">
        <v>1100000000</v>
      </c>
      <c r="L84" s="4">
        <v>70000</v>
      </c>
      <c r="M84" s="4">
        <v>3900</v>
      </c>
      <c r="N84" s="13">
        <v>1</v>
      </c>
      <c r="O84" s="18">
        <f>K84/G84</f>
        <v>7.9762163729968819E-2</v>
      </c>
      <c r="P84" s="19">
        <f>K84/I84</f>
        <v>0.78459343794579173</v>
      </c>
      <c r="Q84" s="13"/>
    </row>
    <row r="85" spans="1:17" x14ac:dyDescent="0.15">
      <c r="A85" s="13">
        <v>84</v>
      </c>
      <c r="B85" s="13">
        <v>10430</v>
      </c>
      <c r="C85" s="16">
        <v>16</v>
      </c>
      <c r="D85" s="17" t="s">
        <v>1485</v>
      </c>
      <c r="E85" s="17" t="s">
        <v>173</v>
      </c>
      <c r="F85" s="12">
        <v>4319</v>
      </c>
      <c r="G85" s="12">
        <f>F85*1000000</f>
        <v>4319000000</v>
      </c>
      <c r="H85" s="13" t="s">
        <v>63</v>
      </c>
      <c r="I85" s="12" t="e">
        <f>H85*1000000</f>
        <v>#VALUE!</v>
      </c>
      <c r="J85" s="17" t="s">
        <v>174</v>
      </c>
      <c r="K85" s="12">
        <v>125000000</v>
      </c>
      <c r="L85" s="4">
        <v>27700</v>
      </c>
      <c r="M85" s="4">
        <v>675</v>
      </c>
      <c r="N85" s="13">
        <v>1</v>
      </c>
      <c r="O85" s="18">
        <f>K85/G85</f>
        <v>2.8941884695531373E-2</v>
      </c>
      <c r="P85" s="19" t="e">
        <f>K85/I85</f>
        <v>#VALUE!</v>
      </c>
      <c r="Q85" s="13"/>
    </row>
    <row r="86" spans="1:17" x14ac:dyDescent="0.15">
      <c r="A86" s="22">
        <v>85</v>
      </c>
      <c r="B86" s="22">
        <v>10421</v>
      </c>
      <c r="C86" s="23">
        <v>13</v>
      </c>
      <c r="D86" s="24" t="s">
        <v>1482</v>
      </c>
      <c r="E86" s="24" t="s">
        <v>175</v>
      </c>
      <c r="F86" s="25">
        <v>2675</v>
      </c>
      <c r="G86" s="25">
        <f>F86*1000000</f>
        <v>2675000000</v>
      </c>
      <c r="H86" s="22" t="s">
        <v>63</v>
      </c>
      <c r="I86" s="25" t="e">
        <f>H86*1000000</f>
        <v>#VALUE!</v>
      </c>
      <c r="J86" s="24" t="s">
        <v>88</v>
      </c>
      <c r="K86" s="25">
        <v>36843022</v>
      </c>
      <c r="L86" s="23">
        <v>31000</v>
      </c>
      <c r="M86" s="23">
        <v>209</v>
      </c>
      <c r="N86" s="22">
        <v>0</v>
      </c>
      <c r="O86" s="26">
        <f>K86/G86</f>
        <v>1.3773092336448599E-2</v>
      </c>
      <c r="P86" s="27" t="e">
        <f>K86/I86</f>
        <v>#VALUE!</v>
      </c>
      <c r="Q86" s="22" t="b">
        <v>1</v>
      </c>
    </row>
    <row r="87" spans="1:17" x14ac:dyDescent="0.15">
      <c r="A87" s="22">
        <v>86</v>
      </c>
      <c r="B87" s="22">
        <v>10415</v>
      </c>
      <c r="C87" s="23">
        <v>2</v>
      </c>
      <c r="D87" s="24" t="s">
        <v>1471</v>
      </c>
      <c r="E87" s="24" t="s">
        <v>176</v>
      </c>
      <c r="F87" s="25">
        <v>13126</v>
      </c>
      <c r="G87" s="25">
        <f>F87*1000000</f>
        <v>13126000000</v>
      </c>
      <c r="H87" s="25">
        <v>1690</v>
      </c>
      <c r="I87" s="25">
        <f>H87*1000000</f>
        <v>1690000000</v>
      </c>
      <c r="J87" s="24" t="s">
        <v>177</v>
      </c>
      <c r="K87" s="25">
        <v>641583600</v>
      </c>
      <c r="L87" s="23">
        <v>61484</v>
      </c>
      <c r="M87" s="23">
        <v>2953</v>
      </c>
      <c r="N87" s="22">
        <v>0</v>
      </c>
      <c r="O87" s="26">
        <f>K87/G87</f>
        <v>4.8878835898217281E-2</v>
      </c>
      <c r="P87" s="27">
        <f>K87/I87</f>
        <v>0.37963526627218935</v>
      </c>
      <c r="Q87" s="22" t="b">
        <v>1</v>
      </c>
    </row>
    <row r="88" spans="1:17" x14ac:dyDescent="0.15">
      <c r="A88" s="7">
        <v>87</v>
      </c>
      <c r="B88" s="7">
        <v>10305</v>
      </c>
      <c r="C88" s="8">
        <v>1</v>
      </c>
      <c r="D88" s="9" t="s">
        <v>1470</v>
      </c>
      <c r="E88" s="9" t="s">
        <v>178</v>
      </c>
      <c r="F88" s="10">
        <v>21924</v>
      </c>
      <c r="G88" s="10">
        <f>F88*1000000</f>
        <v>21924000000</v>
      </c>
      <c r="H88" s="10">
        <v>856</v>
      </c>
      <c r="I88" s="10">
        <f>H88*1000000</f>
        <v>856000000</v>
      </c>
      <c r="J88" s="9" t="s">
        <v>179</v>
      </c>
      <c r="K88" s="10">
        <v>861860941</v>
      </c>
      <c r="L88" s="8">
        <v>123000</v>
      </c>
      <c r="M88" s="8">
        <v>9911</v>
      </c>
      <c r="N88" s="7">
        <v>0</v>
      </c>
      <c r="O88" s="14">
        <f>K88/G88</f>
        <v>3.9311299990877575E-2</v>
      </c>
      <c r="P88" s="15">
        <f>K88/I88</f>
        <v>1.0068468936915889</v>
      </c>
      <c r="Q88" s="7"/>
    </row>
    <row r="89" spans="1:17" x14ac:dyDescent="0.15">
      <c r="A89" s="13">
        <v>88</v>
      </c>
      <c r="B89" s="13">
        <v>10302</v>
      </c>
      <c r="C89" s="16">
        <v>2</v>
      </c>
      <c r="D89" s="17" t="s">
        <v>1471</v>
      </c>
      <c r="E89" s="17" t="s">
        <v>180</v>
      </c>
      <c r="F89" s="12">
        <v>12685</v>
      </c>
      <c r="G89" s="12">
        <f>F89*1000000</f>
        <v>12685000000</v>
      </c>
      <c r="H89" s="12">
        <v>1446</v>
      </c>
      <c r="I89" s="12">
        <f>H89*1000000</f>
        <v>1446000000</v>
      </c>
      <c r="J89" s="17" t="s">
        <v>181</v>
      </c>
      <c r="K89" s="12">
        <v>350000000</v>
      </c>
      <c r="L89" s="4">
        <v>36000</v>
      </c>
      <c r="M89" s="4">
        <v>3161</v>
      </c>
      <c r="N89" s="13">
        <v>1</v>
      </c>
      <c r="O89" s="18">
        <f>K89/G89</f>
        <v>2.7591643673630272E-2</v>
      </c>
      <c r="P89" s="19">
        <f>K89/I89</f>
        <v>0.24204702627939143</v>
      </c>
      <c r="Q89" s="13"/>
    </row>
    <row r="90" spans="1:17" x14ac:dyDescent="0.15">
      <c r="A90" s="22">
        <v>89</v>
      </c>
      <c r="B90" s="22">
        <v>10250</v>
      </c>
      <c r="C90" s="23">
        <v>7</v>
      </c>
      <c r="D90" s="24" t="s">
        <v>1476</v>
      </c>
      <c r="E90" s="24" t="s">
        <v>182</v>
      </c>
      <c r="F90" s="25">
        <v>67111</v>
      </c>
      <c r="G90" s="25">
        <f>F90*1000000</f>
        <v>67111000000</v>
      </c>
      <c r="H90" s="25">
        <v>1759</v>
      </c>
      <c r="I90" s="25">
        <f>H90*1000000</f>
        <v>1759000000</v>
      </c>
      <c r="J90" s="24" t="s">
        <v>183</v>
      </c>
      <c r="K90" s="25">
        <v>626088163</v>
      </c>
      <c r="L90" s="23">
        <v>61900</v>
      </c>
      <c r="M90" s="23">
        <v>3667</v>
      </c>
      <c r="N90" s="22">
        <v>0</v>
      </c>
      <c r="O90" s="26">
        <f>K90/G90</f>
        <v>9.3291437022246723E-3</v>
      </c>
      <c r="P90" s="27">
        <f>K90/I90</f>
        <v>0.35593414610574192</v>
      </c>
      <c r="Q90" s="22" t="b">
        <v>1</v>
      </c>
    </row>
    <row r="91" spans="1:17" x14ac:dyDescent="0.15">
      <c r="A91" s="13">
        <v>90</v>
      </c>
      <c r="B91" s="13">
        <v>10183</v>
      </c>
      <c r="C91" s="16">
        <v>2</v>
      </c>
      <c r="D91" s="17" t="s">
        <v>1471</v>
      </c>
      <c r="E91" s="17" t="s">
        <v>184</v>
      </c>
      <c r="F91" s="12">
        <v>4445</v>
      </c>
      <c r="G91" s="12">
        <f>F91*1000000</f>
        <v>4445000000</v>
      </c>
      <c r="H91" s="12">
        <v>613</v>
      </c>
      <c r="I91" s="12">
        <f>H91*1000000</f>
        <v>613000000</v>
      </c>
      <c r="J91" s="17" t="s">
        <v>185</v>
      </c>
      <c r="K91" s="12">
        <v>200000000</v>
      </c>
      <c r="L91" s="4">
        <v>26000</v>
      </c>
      <c r="M91" s="4">
        <v>1000</v>
      </c>
      <c r="N91" s="13">
        <v>1</v>
      </c>
      <c r="O91" s="18">
        <f>K91/G91</f>
        <v>4.4994375703037118E-2</v>
      </c>
      <c r="P91" s="19">
        <f>K91/I91</f>
        <v>0.32626427406199021</v>
      </c>
      <c r="Q91" s="13"/>
    </row>
    <row r="92" spans="1:17" x14ac:dyDescent="0.15">
      <c r="A92" s="13">
        <v>91</v>
      </c>
      <c r="B92" s="13">
        <v>10172</v>
      </c>
      <c r="C92" s="16">
        <v>13</v>
      </c>
      <c r="D92" s="17" t="s">
        <v>1482</v>
      </c>
      <c r="E92" s="17" t="s">
        <v>186</v>
      </c>
      <c r="F92" s="12">
        <v>3358</v>
      </c>
      <c r="G92" s="12">
        <f>F92*1000000</f>
        <v>3358000000</v>
      </c>
      <c r="H92" s="12">
        <v>126</v>
      </c>
      <c r="I92" s="12">
        <f>H92*1000000</f>
        <v>126000000</v>
      </c>
      <c r="J92" s="17" t="s">
        <v>187</v>
      </c>
      <c r="K92" s="12">
        <v>84000000</v>
      </c>
      <c r="L92" s="4">
        <v>26936</v>
      </c>
      <c r="M92" s="4">
        <v>814</v>
      </c>
      <c r="N92" s="13">
        <v>1</v>
      </c>
      <c r="O92" s="18">
        <f>K92/G92</f>
        <v>2.501488981536629E-2</v>
      </c>
      <c r="P92" s="19">
        <f>K92/I92</f>
        <v>0.66666666666666663</v>
      </c>
      <c r="Q92" s="13"/>
    </row>
    <row r="93" spans="1:17" x14ac:dyDescent="0.15">
      <c r="A93" s="13">
        <v>92</v>
      </c>
      <c r="B93" s="13">
        <v>10033</v>
      </c>
      <c r="C93" s="16">
        <v>12</v>
      </c>
      <c r="D93" s="17" t="s">
        <v>1481</v>
      </c>
      <c r="E93" s="17" t="s">
        <v>188</v>
      </c>
      <c r="F93" s="12">
        <v>2576</v>
      </c>
      <c r="G93" s="12">
        <f>F93*1000000</f>
        <v>2576000000</v>
      </c>
      <c r="H93" s="12">
        <v>52</v>
      </c>
      <c r="I93" s="12">
        <f>H93*1000000</f>
        <v>52000000</v>
      </c>
      <c r="J93" s="17" t="s">
        <v>189</v>
      </c>
      <c r="K93" s="12">
        <v>60000000</v>
      </c>
      <c r="L93" s="4">
        <v>27000</v>
      </c>
      <c r="M93" s="4">
        <v>500</v>
      </c>
      <c r="N93" s="13">
        <v>1</v>
      </c>
      <c r="O93" s="18">
        <f>K93/G93</f>
        <v>2.3291925465838508E-2</v>
      </c>
      <c r="P93" s="19">
        <f>K93/I93</f>
        <v>1.1538461538461537</v>
      </c>
      <c r="Q93" s="13"/>
    </row>
    <row r="94" spans="1:17" x14ac:dyDescent="0.15">
      <c r="A94" s="22">
        <v>93</v>
      </c>
      <c r="B94" s="22">
        <v>10033</v>
      </c>
      <c r="C94" s="23">
        <v>12</v>
      </c>
      <c r="D94" s="24" t="s">
        <v>1481</v>
      </c>
      <c r="E94" s="24" t="s">
        <v>190</v>
      </c>
      <c r="F94" s="25">
        <v>47135</v>
      </c>
      <c r="G94" s="25">
        <f>F94*1000000</f>
        <v>47135000000</v>
      </c>
      <c r="H94" s="22" t="s">
        <v>63</v>
      </c>
      <c r="I94" s="25" t="e">
        <f>H94*1000000</f>
        <v>#VALUE!</v>
      </c>
      <c r="J94" s="24" t="s">
        <v>191</v>
      </c>
      <c r="K94" s="25">
        <v>595098521</v>
      </c>
      <c r="L94" s="23">
        <v>73300</v>
      </c>
      <c r="M94" s="23">
        <v>1525</v>
      </c>
      <c r="N94" s="22">
        <v>0</v>
      </c>
      <c r="O94" s="26">
        <f>K94/G94</f>
        <v>1.262540619497189E-2</v>
      </c>
      <c r="P94" s="27" t="e">
        <f>K94/I94</f>
        <v>#VALUE!</v>
      </c>
      <c r="Q94" s="22" t="b">
        <v>1</v>
      </c>
    </row>
    <row r="95" spans="1:17" x14ac:dyDescent="0.15">
      <c r="A95" s="22">
        <v>94</v>
      </c>
      <c r="B95" s="22">
        <v>10014</v>
      </c>
      <c r="C95" s="23">
        <v>7</v>
      </c>
      <c r="D95" s="24" t="s">
        <v>1476</v>
      </c>
      <c r="E95" s="24" t="s">
        <v>192</v>
      </c>
      <c r="F95" s="25">
        <v>113407</v>
      </c>
      <c r="G95" s="25">
        <f>F95*1000000</f>
        <v>113407000000</v>
      </c>
      <c r="H95" s="25">
        <v>5100</v>
      </c>
      <c r="I95" s="25">
        <f>H95*1000000</f>
        <v>5100000000</v>
      </c>
      <c r="J95" s="24" t="s">
        <v>193</v>
      </c>
      <c r="K95" s="25">
        <v>1057990200</v>
      </c>
      <c r="L95" s="23">
        <v>91000</v>
      </c>
      <c r="M95" s="23">
        <v>6197</v>
      </c>
      <c r="N95" s="22">
        <v>0</v>
      </c>
      <c r="O95" s="26">
        <f>K95/G95</f>
        <v>9.3291437036514494E-3</v>
      </c>
      <c r="P95" s="27">
        <f>K95/I95</f>
        <v>0.2074490588235294</v>
      </c>
      <c r="Q95" s="22" t="b">
        <v>1</v>
      </c>
    </row>
    <row r="96" spans="1:17" x14ac:dyDescent="0.15">
      <c r="A96" s="13">
        <v>95</v>
      </c>
      <c r="B96" s="13">
        <v>9994</v>
      </c>
      <c r="C96" s="16">
        <v>12</v>
      </c>
      <c r="D96" s="17" t="s">
        <v>1481</v>
      </c>
      <c r="E96" s="17" t="s">
        <v>194</v>
      </c>
      <c r="F96" s="12">
        <v>15079</v>
      </c>
      <c r="G96" s="12">
        <f>F96*1000000</f>
        <v>15079000000</v>
      </c>
      <c r="H96" s="12">
        <v>1322</v>
      </c>
      <c r="I96" s="12">
        <f>H96*1000000</f>
        <v>1322000000</v>
      </c>
      <c r="J96" s="17" t="s">
        <v>195</v>
      </c>
      <c r="K96" s="12">
        <v>400347000</v>
      </c>
      <c r="L96" s="4">
        <v>85000</v>
      </c>
      <c r="M96" s="4">
        <v>3000</v>
      </c>
      <c r="N96" s="13">
        <v>1</v>
      </c>
      <c r="O96" s="18">
        <f>K96/G96</f>
        <v>2.6549970157172226E-2</v>
      </c>
      <c r="P96" s="19">
        <f>K96/I96</f>
        <v>0.30283434190620273</v>
      </c>
      <c r="Q96" s="13"/>
    </row>
    <row r="97" spans="1:17" x14ac:dyDescent="0.15">
      <c r="A97" s="13">
        <v>96</v>
      </c>
      <c r="B97" s="13">
        <v>9928</v>
      </c>
      <c r="C97" s="16">
        <v>3</v>
      </c>
      <c r="D97" s="17" t="s">
        <v>1472</v>
      </c>
      <c r="E97" s="17" t="s">
        <v>196</v>
      </c>
      <c r="F97" s="12">
        <v>8272</v>
      </c>
      <c r="G97" s="12">
        <f>F97*1000000</f>
        <v>8272000000</v>
      </c>
      <c r="H97" s="12">
        <v>622</v>
      </c>
      <c r="I97" s="12">
        <f>H97*1000000</f>
        <v>622000000</v>
      </c>
      <c r="J97" s="17" t="s">
        <v>197</v>
      </c>
      <c r="K97" s="12">
        <v>250000000</v>
      </c>
      <c r="L97" s="4">
        <v>30000</v>
      </c>
      <c r="M97" s="4">
        <v>800</v>
      </c>
      <c r="N97" s="13">
        <v>1</v>
      </c>
      <c r="O97" s="18">
        <f>K97/G97</f>
        <v>3.0222437137330756E-2</v>
      </c>
      <c r="P97" s="19">
        <f>K97/I97</f>
        <v>0.40192926045016075</v>
      </c>
      <c r="Q97" s="13"/>
    </row>
    <row r="98" spans="1:17" x14ac:dyDescent="0.15">
      <c r="A98" s="22">
        <v>97</v>
      </c>
      <c r="B98" s="22">
        <v>9925</v>
      </c>
      <c r="C98" s="23">
        <v>13</v>
      </c>
      <c r="D98" s="24" t="s">
        <v>1482</v>
      </c>
      <c r="E98" s="24" t="s">
        <v>198</v>
      </c>
      <c r="F98" s="25">
        <v>6379</v>
      </c>
      <c r="G98" s="25">
        <f>F98*1000000</f>
        <v>6379000000</v>
      </c>
      <c r="H98" s="25">
        <v>680</v>
      </c>
      <c r="I98" s="25">
        <f>H98*1000000</f>
        <v>680000000</v>
      </c>
      <c r="J98" s="24" t="s">
        <v>199</v>
      </c>
      <c r="K98" s="25">
        <v>87858557</v>
      </c>
      <c r="L98" s="23">
        <v>19250</v>
      </c>
      <c r="M98" s="23">
        <v>498</v>
      </c>
      <c r="N98" s="22">
        <v>0</v>
      </c>
      <c r="O98" s="26">
        <f>K98/G98</f>
        <v>1.3773092490986048E-2</v>
      </c>
      <c r="P98" s="27">
        <f>K98/I98</f>
        <v>0.12920376029411765</v>
      </c>
      <c r="Q98" s="22" t="b">
        <v>1</v>
      </c>
    </row>
    <row r="99" spans="1:17" x14ac:dyDescent="0.15">
      <c r="A99" s="13">
        <v>98</v>
      </c>
      <c r="B99" s="13">
        <v>9906</v>
      </c>
      <c r="C99" s="16">
        <v>3</v>
      </c>
      <c r="D99" s="17" t="s">
        <v>1472</v>
      </c>
      <c r="E99" s="17" t="s">
        <v>200</v>
      </c>
      <c r="F99" s="12">
        <v>20015</v>
      </c>
      <c r="G99" s="12">
        <f>F99*1000000</f>
        <v>20015000000</v>
      </c>
      <c r="H99" s="12">
        <v>938</v>
      </c>
      <c r="I99" s="12">
        <f>H99*1000000</f>
        <v>938000000</v>
      </c>
      <c r="J99" s="17" t="s">
        <v>201</v>
      </c>
      <c r="K99" s="12">
        <v>300000000</v>
      </c>
      <c r="L99" s="4">
        <v>55436</v>
      </c>
      <c r="M99" s="4">
        <v>729</v>
      </c>
      <c r="N99" s="13">
        <v>1</v>
      </c>
      <c r="O99" s="18">
        <f>K99/G99</f>
        <v>1.4988758431176618E-2</v>
      </c>
      <c r="P99" s="19">
        <f>K99/I99</f>
        <v>0.31982942430703626</v>
      </c>
      <c r="Q99" s="13"/>
    </row>
    <row r="100" spans="1:17" x14ac:dyDescent="0.15">
      <c r="A100" s="13">
        <v>99</v>
      </c>
      <c r="B100" s="13">
        <v>9905</v>
      </c>
      <c r="C100" s="16">
        <v>17</v>
      </c>
      <c r="D100" s="17" t="s">
        <v>1486</v>
      </c>
      <c r="E100" s="17" t="s">
        <v>202</v>
      </c>
      <c r="F100" s="12">
        <v>20380</v>
      </c>
      <c r="G100" s="12">
        <f>F100*1000000</f>
        <v>20380000000</v>
      </c>
      <c r="H100" s="12">
        <v>1057</v>
      </c>
      <c r="I100" s="12">
        <f>H100*1000000</f>
        <v>1057000000</v>
      </c>
      <c r="J100" s="17" t="s">
        <v>203</v>
      </c>
      <c r="K100" s="12">
        <v>168000000</v>
      </c>
      <c r="L100" s="4">
        <v>193000</v>
      </c>
      <c r="M100" s="4">
        <v>1196</v>
      </c>
      <c r="N100" s="13">
        <v>1</v>
      </c>
      <c r="O100" s="18">
        <f>K100/G100</f>
        <v>8.2433758586849849E-3</v>
      </c>
      <c r="P100" s="19">
        <f>K100/I100</f>
        <v>0.15894039735099338</v>
      </c>
      <c r="Q100" s="13"/>
    </row>
    <row r="101" spans="1:17" x14ac:dyDescent="0.15">
      <c r="A101" s="22">
        <v>100</v>
      </c>
      <c r="B101" s="22">
        <v>9825</v>
      </c>
      <c r="C101" s="23">
        <v>6</v>
      </c>
      <c r="D101" s="24" t="s">
        <v>1475</v>
      </c>
      <c r="E101" s="24" t="s">
        <v>204</v>
      </c>
      <c r="F101" s="25">
        <v>3446</v>
      </c>
      <c r="G101" s="25">
        <f>F101*1000000</f>
        <v>3446000000</v>
      </c>
      <c r="H101" s="25">
        <v>58</v>
      </c>
      <c r="I101" s="25">
        <f>H101*1000000</f>
        <v>58000000</v>
      </c>
      <c r="J101" s="24" t="s">
        <v>205</v>
      </c>
      <c r="K101" s="25">
        <v>92023062</v>
      </c>
      <c r="L101" s="23">
        <v>29000</v>
      </c>
      <c r="M101" s="23">
        <v>437</v>
      </c>
      <c r="N101" s="22">
        <v>0</v>
      </c>
      <c r="O101" s="26">
        <f>K101/G101</f>
        <v>2.6704312826465466E-2</v>
      </c>
      <c r="P101" s="27">
        <f>K101/I101</f>
        <v>1.5866045172413794</v>
      </c>
      <c r="Q101" s="22" t="b">
        <v>1</v>
      </c>
    </row>
    <row r="102" spans="1:17" x14ac:dyDescent="0.15">
      <c r="A102" s="22">
        <v>101</v>
      </c>
      <c r="B102" s="22">
        <v>9784</v>
      </c>
      <c r="C102" s="23">
        <v>11</v>
      </c>
      <c r="D102" s="24" t="s">
        <v>1480</v>
      </c>
      <c r="E102" s="24" t="s">
        <v>206</v>
      </c>
      <c r="F102" s="25">
        <v>3435</v>
      </c>
      <c r="G102" s="25">
        <f>F102*1000000</f>
        <v>3435000000</v>
      </c>
      <c r="H102" s="25">
        <v>382</v>
      </c>
      <c r="I102" s="25">
        <f>H102*1000000</f>
        <v>382000000</v>
      </c>
      <c r="J102" s="24" t="s">
        <v>207</v>
      </c>
      <c r="K102" s="25">
        <v>64186861</v>
      </c>
      <c r="L102" s="23">
        <v>25600</v>
      </c>
      <c r="M102" s="23">
        <v>535</v>
      </c>
      <c r="N102" s="22">
        <v>0</v>
      </c>
      <c r="O102" s="26">
        <f>K102/G102</f>
        <v>1.8686131295487629E-2</v>
      </c>
      <c r="P102" s="27">
        <f>K102/I102</f>
        <v>0.16802843193717276</v>
      </c>
      <c r="Q102" s="22" t="b">
        <v>1</v>
      </c>
    </row>
    <row r="103" spans="1:17" x14ac:dyDescent="0.15">
      <c r="A103" s="13">
        <v>102</v>
      </c>
      <c r="B103" s="13">
        <v>9700</v>
      </c>
      <c r="C103" s="16">
        <v>5</v>
      </c>
      <c r="D103" s="17" t="s">
        <v>1474</v>
      </c>
      <c r="E103" s="17" t="s">
        <v>208</v>
      </c>
      <c r="F103" s="12">
        <v>5248</v>
      </c>
      <c r="G103" s="12">
        <f>F103*1000000</f>
        <v>5248000000</v>
      </c>
      <c r="H103" s="12">
        <v>127</v>
      </c>
      <c r="I103" s="12">
        <f>H103*1000000</f>
        <v>127000000</v>
      </c>
      <c r="J103" s="17" t="s">
        <v>209</v>
      </c>
      <c r="K103" s="12">
        <v>100000000</v>
      </c>
      <c r="L103" s="4">
        <v>35000</v>
      </c>
      <c r="M103" s="4">
        <v>500</v>
      </c>
      <c r="N103" s="13">
        <v>1</v>
      </c>
      <c r="O103" s="18">
        <f>K103/G103</f>
        <v>1.9054878048780487E-2</v>
      </c>
      <c r="P103" s="19">
        <f>K103/I103</f>
        <v>0.78740157480314965</v>
      </c>
      <c r="Q103" s="13"/>
    </row>
    <row r="104" spans="1:17" x14ac:dyDescent="0.15">
      <c r="A104" s="7">
        <v>103</v>
      </c>
      <c r="B104" s="7">
        <v>9677</v>
      </c>
      <c r="C104" s="8">
        <v>3</v>
      </c>
      <c r="D104" s="9" t="s">
        <v>1472</v>
      </c>
      <c r="E104" s="9" t="s">
        <v>210</v>
      </c>
      <c r="F104" s="10">
        <v>5144</v>
      </c>
      <c r="G104" s="10">
        <f>F104*1000000</f>
        <v>5144000000</v>
      </c>
      <c r="H104" s="10">
        <v>283</v>
      </c>
      <c r="I104" s="10">
        <f>H104*1000000</f>
        <v>283000000</v>
      </c>
      <c r="J104" s="9" t="s">
        <v>211</v>
      </c>
      <c r="K104" s="10">
        <v>136535134</v>
      </c>
      <c r="L104" s="8">
        <v>37900</v>
      </c>
      <c r="M104" s="8">
        <v>1050</v>
      </c>
      <c r="N104" s="7">
        <v>0</v>
      </c>
      <c r="O104" s="14">
        <f>K104/G104</f>
        <v>2.6542599922239504E-2</v>
      </c>
      <c r="P104" s="15">
        <f>K104/I104</f>
        <v>0.48245630388692579</v>
      </c>
      <c r="Q104" s="7"/>
    </row>
    <row r="105" spans="1:17" x14ac:dyDescent="0.15">
      <c r="A105" s="13">
        <v>104</v>
      </c>
      <c r="B105" s="13">
        <v>9533</v>
      </c>
      <c r="C105" s="16">
        <v>13</v>
      </c>
      <c r="D105" s="17" t="s">
        <v>1482</v>
      </c>
      <c r="E105" s="17" t="s">
        <v>212</v>
      </c>
      <c r="F105" s="12">
        <v>4889</v>
      </c>
      <c r="G105" s="12">
        <f>F105*1000000</f>
        <v>4889000000</v>
      </c>
      <c r="H105" s="12">
        <v>269</v>
      </c>
      <c r="I105" s="12">
        <f>H105*1000000</f>
        <v>269000000</v>
      </c>
      <c r="J105" s="17" t="s">
        <v>213</v>
      </c>
      <c r="K105" s="12">
        <v>97500000</v>
      </c>
      <c r="L105" s="4">
        <v>46000</v>
      </c>
      <c r="M105" s="4">
        <v>325</v>
      </c>
      <c r="N105" s="13">
        <v>1</v>
      </c>
      <c r="O105" s="18">
        <f>K105/G105</f>
        <v>1.9942728574350584E-2</v>
      </c>
      <c r="P105" s="19">
        <f>K105/I105</f>
        <v>0.36245353159851301</v>
      </c>
      <c r="Q105" s="13"/>
    </row>
    <row r="106" spans="1:17" x14ac:dyDescent="0.15">
      <c r="A106" s="13">
        <v>105</v>
      </c>
      <c r="B106" s="13">
        <v>9513</v>
      </c>
      <c r="C106" s="16">
        <v>12</v>
      </c>
      <c r="D106" s="17" t="s">
        <v>1481</v>
      </c>
      <c r="E106" s="17" t="s">
        <v>214</v>
      </c>
      <c r="F106" s="12">
        <v>6331</v>
      </c>
      <c r="G106" s="12">
        <f>F106*1000000</f>
        <v>6331000000</v>
      </c>
      <c r="H106" s="12">
        <v>515</v>
      </c>
      <c r="I106" s="12">
        <f>H106*1000000</f>
        <v>515000000</v>
      </c>
      <c r="J106" s="17" t="s">
        <v>215</v>
      </c>
      <c r="K106" s="12">
        <v>77100000</v>
      </c>
      <c r="L106" s="4">
        <v>30800</v>
      </c>
      <c r="M106" s="4">
        <v>519</v>
      </c>
      <c r="N106" s="13">
        <v>1</v>
      </c>
      <c r="O106" s="18">
        <f>K106/G106</f>
        <v>1.217817090507029E-2</v>
      </c>
      <c r="P106" s="19">
        <f>K106/I106</f>
        <v>0.14970873786407768</v>
      </c>
      <c r="Q106" s="13"/>
    </row>
    <row r="107" spans="1:17" x14ac:dyDescent="0.15">
      <c r="A107" s="13">
        <v>106</v>
      </c>
      <c r="B107" s="13">
        <v>9505</v>
      </c>
      <c r="C107" s="16">
        <v>4</v>
      </c>
      <c r="D107" s="17" t="s">
        <v>1473</v>
      </c>
      <c r="E107" s="17" t="s">
        <v>216</v>
      </c>
      <c r="F107" s="12">
        <v>2108</v>
      </c>
      <c r="G107" s="12">
        <f>F107*1000000</f>
        <v>2108000000</v>
      </c>
      <c r="H107" s="12">
        <v>170</v>
      </c>
      <c r="I107" s="12">
        <f>H107*1000000</f>
        <v>170000000</v>
      </c>
      <c r="J107" s="17" t="s">
        <v>217</v>
      </c>
      <c r="K107" s="12">
        <v>70000000</v>
      </c>
      <c r="L107" s="4">
        <v>8000</v>
      </c>
      <c r="M107" s="4">
        <v>300</v>
      </c>
      <c r="N107" s="13">
        <v>1</v>
      </c>
      <c r="O107" s="18">
        <f>K107/G107</f>
        <v>3.3206831119544589E-2</v>
      </c>
      <c r="P107" s="19">
        <f>K107/I107</f>
        <v>0.41176470588235292</v>
      </c>
      <c r="Q107" s="13"/>
    </row>
    <row r="108" spans="1:17" x14ac:dyDescent="0.15">
      <c r="A108" s="22">
        <v>107</v>
      </c>
      <c r="B108" s="22">
        <v>9405</v>
      </c>
      <c r="C108" s="23">
        <v>3</v>
      </c>
      <c r="D108" s="24" t="s">
        <v>1472</v>
      </c>
      <c r="E108" s="24" t="s">
        <v>218</v>
      </c>
      <c r="F108" s="25">
        <v>4011</v>
      </c>
      <c r="G108" s="25">
        <f>F108*1000000</f>
        <v>4011000000</v>
      </c>
      <c r="H108" s="25">
        <v>173</v>
      </c>
      <c r="I108" s="25">
        <f>H108*1000000</f>
        <v>173000000</v>
      </c>
      <c r="J108" s="24" t="s">
        <v>219</v>
      </c>
      <c r="K108" s="25">
        <v>67431554</v>
      </c>
      <c r="L108" s="23" t="s">
        <v>63</v>
      </c>
      <c r="M108" s="23">
        <v>146</v>
      </c>
      <c r="N108" s="22">
        <v>0</v>
      </c>
      <c r="O108" s="26">
        <f>K108/G108</f>
        <v>1.6811656444776862E-2</v>
      </c>
      <c r="P108" s="27">
        <f>K108/I108</f>
        <v>0.38977776878612719</v>
      </c>
      <c r="Q108" s="22" t="b">
        <v>1</v>
      </c>
    </row>
    <row r="109" spans="1:17" x14ac:dyDescent="0.15">
      <c r="A109" s="22">
        <v>108</v>
      </c>
      <c r="B109" s="22">
        <v>9382</v>
      </c>
      <c r="C109" s="23">
        <v>12</v>
      </c>
      <c r="D109" s="24" t="s">
        <v>1481</v>
      </c>
      <c r="E109" s="24" t="s">
        <v>220</v>
      </c>
      <c r="F109" s="25">
        <v>26518</v>
      </c>
      <c r="G109" s="25">
        <f>F109*1000000</f>
        <v>26518000000</v>
      </c>
      <c r="H109" s="22" t="s">
        <v>63</v>
      </c>
      <c r="I109" s="25" t="e">
        <f>H109*1000000</f>
        <v>#VALUE!</v>
      </c>
      <c r="J109" s="24" t="s">
        <v>221</v>
      </c>
      <c r="K109" s="25">
        <v>334800522</v>
      </c>
      <c r="L109" s="23">
        <v>172483</v>
      </c>
      <c r="M109" s="23">
        <v>2281</v>
      </c>
      <c r="N109" s="22">
        <v>0</v>
      </c>
      <c r="O109" s="26">
        <f>K109/G109</f>
        <v>1.2625406214646655E-2</v>
      </c>
      <c r="P109" s="27" t="e">
        <f>K109/I109</f>
        <v>#VALUE!</v>
      </c>
      <c r="Q109" s="22" t="b">
        <v>1</v>
      </c>
    </row>
    <row r="110" spans="1:17" x14ac:dyDescent="0.15">
      <c r="A110" s="22">
        <v>109</v>
      </c>
      <c r="B110" s="22">
        <v>9357</v>
      </c>
      <c r="C110" s="23">
        <v>17</v>
      </c>
      <c r="D110" s="24" t="s">
        <v>1486</v>
      </c>
      <c r="E110" s="24" t="s">
        <v>222</v>
      </c>
      <c r="F110" s="25">
        <v>5162</v>
      </c>
      <c r="G110" s="25">
        <f>F110*1000000</f>
        <v>5162000000</v>
      </c>
      <c r="H110" s="25">
        <v>86</v>
      </c>
      <c r="I110" s="25">
        <f>H110*1000000</f>
        <v>86000000</v>
      </c>
      <c r="J110" s="24" t="s">
        <v>223</v>
      </c>
      <c r="K110" s="25">
        <v>28019468</v>
      </c>
      <c r="L110" s="23" t="s">
        <v>63</v>
      </c>
      <c r="M110" s="23">
        <v>170</v>
      </c>
      <c r="N110" s="22">
        <v>0</v>
      </c>
      <c r="O110" s="26">
        <f>K110/G110</f>
        <v>5.4280255714839213E-3</v>
      </c>
      <c r="P110" s="27">
        <f>K110/I110</f>
        <v>0.32580776744186046</v>
      </c>
      <c r="Q110" s="22" t="b">
        <v>1</v>
      </c>
    </row>
    <row r="111" spans="1:17" x14ac:dyDescent="0.15">
      <c r="A111" s="13">
        <v>110</v>
      </c>
      <c r="B111" s="13">
        <v>9328</v>
      </c>
      <c r="C111" s="16">
        <v>20</v>
      </c>
      <c r="D111" s="17" t="s">
        <v>1489</v>
      </c>
      <c r="E111" s="17" t="s">
        <v>224</v>
      </c>
      <c r="F111" s="12">
        <v>8297</v>
      </c>
      <c r="G111" s="12">
        <f>F111*1000000</f>
        <v>8297000000</v>
      </c>
      <c r="H111" s="12">
        <v>989</v>
      </c>
      <c r="I111" s="12">
        <f>H111*1000000</f>
        <v>989000000</v>
      </c>
      <c r="J111" s="17" t="s">
        <v>225</v>
      </c>
      <c r="K111" s="12">
        <v>308000000</v>
      </c>
      <c r="L111" s="4">
        <v>28743</v>
      </c>
      <c r="M111" s="4">
        <v>1253</v>
      </c>
      <c r="N111" s="13">
        <v>1</v>
      </c>
      <c r="O111" s="18">
        <f>K111/G111</f>
        <v>3.7121851271543931E-2</v>
      </c>
      <c r="P111" s="19">
        <f>K111/I111</f>
        <v>0.3114256825075834</v>
      </c>
      <c r="Q111" s="13"/>
    </row>
    <row r="112" spans="1:17" x14ac:dyDescent="0.15">
      <c r="A112" s="13">
        <v>111</v>
      </c>
      <c r="B112" s="13">
        <v>9291</v>
      </c>
      <c r="C112" s="16">
        <v>12</v>
      </c>
      <c r="D112" s="17" t="s">
        <v>1481</v>
      </c>
      <c r="E112" s="17" t="s">
        <v>226</v>
      </c>
      <c r="F112" s="12">
        <v>9030</v>
      </c>
      <c r="G112" s="12">
        <f>F112*1000000</f>
        <v>9030000000</v>
      </c>
      <c r="H112" s="12">
        <v>604</v>
      </c>
      <c r="I112" s="12">
        <f>H112*1000000</f>
        <v>604000000</v>
      </c>
      <c r="J112" s="17" t="s">
        <v>227</v>
      </c>
      <c r="K112" s="12">
        <v>115000000</v>
      </c>
      <c r="L112" s="4">
        <v>35000</v>
      </c>
      <c r="M112" s="4">
        <v>1300</v>
      </c>
      <c r="N112" s="13">
        <v>1</v>
      </c>
      <c r="O112" s="18">
        <f>K112/G112</f>
        <v>1.273532668881506E-2</v>
      </c>
      <c r="P112" s="19">
        <f>K112/I112</f>
        <v>0.19039735099337748</v>
      </c>
      <c r="Q112" s="13"/>
    </row>
    <row r="113" spans="1:18" x14ac:dyDescent="0.15">
      <c r="A113" s="22">
        <v>112</v>
      </c>
      <c r="B113" s="22">
        <v>9240</v>
      </c>
      <c r="C113" s="23">
        <v>11</v>
      </c>
      <c r="D113" s="24" t="s">
        <v>1480</v>
      </c>
      <c r="E113" s="24" t="s">
        <v>228</v>
      </c>
      <c r="F113" s="25">
        <v>28683</v>
      </c>
      <c r="G113" s="25">
        <f>F113*1000000</f>
        <v>28683000000</v>
      </c>
      <c r="H113" s="22" t="s">
        <v>63</v>
      </c>
      <c r="I113" s="25" t="e">
        <f>H113*1000000</f>
        <v>#VALUE!</v>
      </c>
      <c r="J113" s="24" t="s">
        <v>88</v>
      </c>
      <c r="K113" s="25">
        <v>535974304</v>
      </c>
      <c r="L113" s="23">
        <v>55000</v>
      </c>
      <c r="M113" s="23">
        <v>4471</v>
      </c>
      <c r="N113" s="22">
        <v>0</v>
      </c>
      <c r="O113" s="26">
        <f>K113/G113</f>
        <v>1.8686131297284105E-2</v>
      </c>
      <c r="P113" s="27" t="e">
        <f>K113/I113</f>
        <v>#VALUE!</v>
      </c>
      <c r="Q113" s="22" t="b">
        <v>1</v>
      </c>
    </row>
    <row r="114" spans="1:18" x14ac:dyDescent="0.15">
      <c r="A114" s="13">
        <v>113</v>
      </c>
      <c r="B114" s="13">
        <v>9195</v>
      </c>
      <c r="C114" s="16">
        <v>9</v>
      </c>
      <c r="D114" s="17" t="s">
        <v>1478</v>
      </c>
      <c r="E114" s="17" t="s">
        <v>229</v>
      </c>
      <c r="F114" s="12">
        <v>15366</v>
      </c>
      <c r="G114" s="12">
        <f>F114*1000000</f>
        <v>15366000000</v>
      </c>
      <c r="H114" s="12">
        <v>764</v>
      </c>
      <c r="I114" s="12">
        <f>H114*1000000</f>
        <v>764000000</v>
      </c>
      <c r="J114" s="17" t="s">
        <v>230</v>
      </c>
      <c r="K114" s="12">
        <v>94100000</v>
      </c>
      <c r="L114" s="4">
        <v>29000</v>
      </c>
      <c r="M114" s="4">
        <v>477</v>
      </c>
      <c r="N114" s="13">
        <v>1</v>
      </c>
      <c r="O114" s="18">
        <f>K114/G114</f>
        <v>6.1239099310165298E-3</v>
      </c>
      <c r="P114" s="19">
        <f>K114/I114</f>
        <v>0.12316753926701571</v>
      </c>
      <c r="Q114" s="13"/>
    </row>
    <row r="115" spans="1:18" x14ac:dyDescent="0.15">
      <c r="A115" s="22">
        <v>114</v>
      </c>
      <c r="B115" s="22">
        <v>9186</v>
      </c>
      <c r="C115" s="23">
        <v>18</v>
      </c>
      <c r="D115" s="24" t="s">
        <v>1487</v>
      </c>
      <c r="E115" s="24" t="s">
        <v>231</v>
      </c>
      <c r="F115" s="25">
        <v>12570</v>
      </c>
      <c r="G115" s="25">
        <f>F115*1000000</f>
        <v>12570000000</v>
      </c>
      <c r="H115" s="25">
        <v>1688</v>
      </c>
      <c r="I115" s="25">
        <f>H115*1000000</f>
        <v>1688000000</v>
      </c>
      <c r="J115" s="24" t="s">
        <v>232</v>
      </c>
      <c r="K115" s="25">
        <v>626712941</v>
      </c>
      <c r="L115" s="23">
        <v>63594</v>
      </c>
      <c r="M115" s="23">
        <v>2677</v>
      </c>
      <c r="N115" s="22">
        <v>0</v>
      </c>
      <c r="O115" s="26">
        <f>K115/G115</f>
        <v>4.9857831424025459E-2</v>
      </c>
      <c r="P115" s="27">
        <f>K115/I115</f>
        <v>0.37127543898104265</v>
      </c>
      <c r="Q115" s="22" t="b">
        <v>1</v>
      </c>
    </row>
    <row r="116" spans="1:18" x14ac:dyDescent="0.15">
      <c r="A116" s="22">
        <v>115</v>
      </c>
      <c r="B116" s="22">
        <v>9098</v>
      </c>
      <c r="C116" s="23">
        <v>6</v>
      </c>
      <c r="D116" s="24" t="s">
        <v>1475</v>
      </c>
      <c r="E116" s="24" t="s">
        <v>233</v>
      </c>
      <c r="F116" s="25">
        <v>3369</v>
      </c>
      <c r="G116" s="25">
        <f>F116*1000000</f>
        <v>3369000000</v>
      </c>
      <c r="H116" s="25">
        <v>122</v>
      </c>
      <c r="I116" s="25">
        <f>H116*1000000</f>
        <v>122000000</v>
      </c>
      <c r="J116" s="24" t="s">
        <v>234</v>
      </c>
      <c r="K116" s="25">
        <v>89966830</v>
      </c>
      <c r="L116" s="23" t="s">
        <v>63</v>
      </c>
      <c r="M116" s="23">
        <v>428</v>
      </c>
      <c r="N116" s="22">
        <v>0</v>
      </c>
      <c r="O116" s="26">
        <f>K116/G116</f>
        <v>2.6704312852478481E-2</v>
      </c>
      <c r="P116" s="27">
        <f>K116/I116</f>
        <v>0.73743303278688521</v>
      </c>
      <c r="Q116" s="22" t="b">
        <v>1</v>
      </c>
    </row>
    <row r="117" spans="1:18" x14ac:dyDescent="0.15">
      <c r="A117" s="13">
        <v>116</v>
      </c>
      <c r="B117" s="13">
        <v>9038</v>
      </c>
      <c r="C117" s="16">
        <v>2</v>
      </c>
      <c r="D117" s="17" t="s">
        <v>1471</v>
      </c>
      <c r="E117" s="17" t="s">
        <v>235</v>
      </c>
      <c r="F117" s="12">
        <v>5373</v>
      </c>
      <c r="G117" s="12">
        <f>F117*1000000</f>
        <v>5373000000</v>
      </c>
      <c r="H117" s="12">
        <v>853</v>
      </c>
      <c r="I117" s="12">
        <f>H117*1000000</f>
        <v>853000000</v>
      </c>
      <c r="J117" s="17" t="s">
        <v>236</v>
      </c>
      <c r="K117" s="12">
        <v>450000000</v>
      </c>
      <c r="L117" s="4">
        <v>35000</v>
      </c>
      <c r="M117" s="4">
        <v>7500</v>
      </c>
      <c r="N117" s="13">
        <v>1</v>
      </c>
      <c r="O117" s="18">
        <f>K117/G117</f>
        <v>8.3752093802345065E-2</v>
      </c>
      <c r="P117" s="19">
        <f>K117/I117</f>
        <v>0.52754982415005858</v>
      </c>
      <c r="Q117" s="13"/>
    </row>
    <row r="118" spans="1:18" x14ac:dyDescent="0.15">
      <c r="A118" s="22">
        <v>117</v>
      </c>
      <c r="B118" s="22">
        <v>9003</v>
      </c>
      <c r="C118" s="23">
        <v>17</v>
      </c>
      <c r="D118" s="24" t="s">
        <v>1486</v>
      </c>
      <c r="E118" s="24" t="s">
        <v>237</v>
      </c>
      <c r="F118" s="25">
        <v>22959</v>
      </c>
      <c r="G118" s="25">
        <f>F118*1000000</f>
        <v>22959000000</v>
      </c>
      <c r="H118" s="25">
        <v>269</v>
      </c>
      <c r="I118" s="25">
        <f>H118*1000000</f>
        <v>269000000</v>
      </c>
      <c r="J118" s="24" t="s">
        <v>238</v>
      </c>
      <c r="K118" s="25">
        <v>124622040</v>
      </c>
      <c r="L118" s="23">
        <v>190000</v>
      </c>
      <c r="M118" s="23">
        <v>757</v>
      </c>
      <c r="N118" s="22">
        <v>0</v>
      </c>
      <c r="O118" s="26">
        <f>K118/G118</f>
        <v>5.4280256108715534E-3</v>
      </c>
      <c r="P118" s="27">
        <f>K118/I118</f>
        <v>0.4632789591078067</v>
      </c>
      <c r="Q118" s="22" t="b">
        <v>1</v>
      </c>
    </row>
    <row r="119" spans="1:18" x14ac:dyDescent="0.15">
      <c r="A119" s="7">
        <v>118</v>
      </c>
      <c r="B119" s="7">
        <v>8896</v>
      </c>
      <c r="C119" s="8">
        <v>10</v>
      </c>
      <c r="D119" s="9" t="s">
        <v>1479</v>
      </c>
      <c r="E119" s="9" t="s">
        <v>239</v>
      </c>
      <c r="F119" s="10">
        <v>9324</v>
      </c>
      <c r="G119" s="10">
        <f>F119*1000000</f>
        <v>9324000000</v>
      </c>
      <c r="H119" s="10">
        <v>596</v>
      </c>
      <c r="I119" s="10">
        <f>H119*1000000</f>
        <v>596000000</v>
      </c>
      <c r="J119" s="9" t="s">
        <v>240</v>
      </c>
      <c r="K119" s="10">
        <v>99761206</v>
      </c>
      <c r="L119" s="8">
        <v>60400</v>
      </c>
      <c r="M119" s="8">
        <v>1008</v>
      </c>
      <c r="N119" s="7">
        <v>0</v>
      </c>
      <c r="O119" s="14">
        <f>K119/G119</f>
        <v>1.0699400042900042E-2</v>
      </c>
      <c r="P119" s="15">
        <f>K119/I119</f>
        <v>0.16738457382550337</v>
      </c>
      <c r="Q119" s="7"/>
    </row>
    <row r="120" spans="1:18" x14ac:dyDescent="0.15">
      <c r="A120" s="7">
        <v>119</v>
      </c>
      <c r="B120" s="7">
        <v>8808</v>
      </c>
      <c r="C120" s="8">
        <v>13</v>
      </c>
      <c r="D120" s="9" t="s">
        <v>1482</v>
      </c>
      <c r="E120" s="9" t="s">
        <v>241</v>
      </c>
      <c r="F120" s="10">
        <v>2649</v>
      </c>
      <c r="G120" s="10">
        <f>F120*1000000</f>
        <v>2649000000</v>
      </c>
      <c r="H120" s="10">
        <v>171</v>
      </c>
      <c r="I120" s="10">
        <f>H120*1000000</f>
        <v>171000000</v>
      </c>
      <c r="J120" s="9" t="s">
        <v>242</v>
      </c>
      <c r="K120" s="10">
        <v>35484922</v>
      </c>
      <c r="L120" s="8" t="s">
        <v>63</v>
      </c>
      <c r="M120" s="8">
        <v>207</v>
      </c>
      <c r="N120" s="7">
        <v>0</v>
      </c>
      <c r="O120" s="14">
        <f>K120/G120</f>
        <v>1.339559154397886E-2</v>
      </c>
      <c r="P120" s="15">
        <f>K120/I120</f>
        <v>0.20751416374269005</v>
      </c>
      <c r="Q120" s="7"/>
    </row>
    <row r="121" spans="1:18" x14ac:dyDescent="0.15">
      <c r="A121" s="22">
        <v>120</v>
      </c>
      <c r="B121" s="22">
        <v>8796</v>
      </c>
      <c r="C121" s="23">
        <v>12</v>
      </c>
      <c r="D121" s="24" t="s">
        <v>1481</v>
      </c>
      <c r="E121" s="24" t="s">
        <v>243</v>
      </c>
      <c r="F121" s="25">
        <v>4468</v>
      </c>
      <c r="G121" s="25">
        <f>F121*1000000</f>
        <v>4468000000</v>
      </c>
      <c r="H121" s="25">
        <v>273</v>
      </c>
      <c r="I121" s="25">
        <f>H121*1000000</f>
        <v>273000000</v>
      </c>
      <c r="J121" s="24" t="s">
        <v>244</v>
      </c>
      <c r="K121" s="25">
        <v>56410315</v>
      </c>
      <c r="L121" s="23">
        <v>51300</v>
      </c>
      <c r="M121" s="23">
        <v>384</v>
      </c>
      <c r="N121" s="22">
        <v>0</v>
      </c>
      <c r="O121" s="26">
        <f>K121/G121</f>
        <v>1.2625406222023277E-2</v>
      </c>
      <c r="P121" s="27">
        <f>K121/I121</f>
        <v>0.20663119047619047</v>
      </c>
      <c r="Q121" s="22" t="b">
        <v>1</v>
      </c>
    </row>
    <row r="122" spans="1:18" x14ac:dyDescent="0.15">
      <c r="A122" s="28">
        <v>121</v>
      </c>
      <c r="B122" s="28">
        <v>8791</v>
      </c>
      <c r="C122" s="29">
        <v>18</v>
      </c>
      <c r="D122" s="30" t="s">
        <v>1487</v>
      </c>
      <c r="E122" s="30" t="s">
        <v>245</v>
      </c>
      <c r="F122" s="31">
        <v>11619</v>
      </c>
      <c r="G122" s="31">
        <f>F122*1000000</f>
        <v>11619000000</v>
      </c>
      <c r="H122" s="31">
        <v>1649</v>
      </c>
      <c r="I122" s="31">
        <f>H122*1000000</f>
        <v>1649000000</v>
      </c>
      <c r="J122" s="30" t="s">
        <v>246</v>
      </c>
      <c r="K122" s="28" t="e">
        <v>#N/A</v>
      </c>
      <c r="L122" s="29" t="s">
        <v>63</v>
      </c>
      <c r="M122" s="29" t="s">
        <v>63</v>
      </c>
      <c r="N122" s="28">
        <v>1</v>
      </c>
      <c r="O122" s="32" t="e">
        <f>K122/G122</f>
        <v>#N/A</v>
      </c>
      <c r="P122" s="33" t="e">
        <f>K122/I122</f>
        <v>#N/A</v>
      </c>
      <c r="Q122" s="28"/>
      <c r="R122" s="28" t="b">
        <v>1</v>
      </c>
    </row>
    <row r="123" spans="1:18" x14ac:dyDescent="0.15">
      <c r="A123" s="28">
        <v>122</v>
      </c>
      <c r="B123" s="28">
        <v>8753</v>
      </c>
      <c r="C123" s="29">
        <v>3</v>
      </c>
      <c r="D123" s="30" t="s">
        <v>1472</v>
      </c>
      <c r="E123" s="30" t="s">
        <v>247</v>
      </c>
      <c r="F123" s="28" t="s">
        <v>248</v>
      </c>
      <c r="G123" s="31" t="e">
        <f>F123*1000000</f>
        <v>#VALUE!</v>
      </c>
      <c r="H123" s="28" t="s">
        <v>63</v>
      </c>
      <c r="I123" s="31" t="e">
        <f>H123*1000000</f>
        <v>#VALUE!</v>
      </c>
      <c r="J123" s="30" t="s">
        <v>249</v>
      </c>
      <c r="K123" s="28" t="e">
        <v>#N/A</v>
      </c>
      <c r="L123" s="29" t="s">
        <v>63</v>
      </c>
      <c r="M123" s="29" t="s">
        <v>63</v>
      </c>
      <c r="N123" s="28">
        <v>1</v>
      </c>
      <c r="O123" s="32" t="e">
        <f>K123/G123</f>
        <v>#N/A</v>
      </c>
      <c r="P123" s="33" t="e">
        <f>K123/I123</f>
        <v>#N/A</v>
      </c>
      <c r="Q123" s="28"/>
      <c r="R123" s="28" t="b">
        <v>1</v>
      </c>
    </row>
    <row r="124" spans="1:18" x14ac:dyDescent="0.15">
      <c r="A124" s="28">
        <v>123</v>
      </c>
      <c r="B124" s="28">
        <v>8705</v>
      </c>
      <c r="C124" s="29">
        <v>3</v>
      </c>
      <c r="D124" s="30" t="s">
        <v>1472</v>
      </c>
      <c r="E124" s="30" t="s">
        <v>250</v>
      </c>
      <c r="F124" s="28" t="s">
        <v>248</v>
      </c>
      <c r="G124" s="31" t="e">
        <f>F124*1000000</f>
        <v>#VALUE!</v>
      </c>
      <c r="H124" s="28" t="s">
        <v>63</v>
      </c>
      <c r="I124" s="31" t="e">
        <f>H124*1000000</f>
        <v>#VALUE!</v>
      </c>
      <c r="J124" s="30" t="s">
        <v>251</v>
      </c>
      <c r="K124" s="28" t="e">
        <v>#N/A</v>
      </c>
      <c r="L124" s="29">
        <v>112020</v>
      </c>
      <c r="M124" s="29" t="s">
        <v>63</v>
      </c>
      <c r="N124" s="28">
        <v>1</v>
      </c>
      <c r="O124" s="32" t="e">
        <f>K124/G124</f>
        <v>#N/A</v>
      </c>
      <c r="P124" s="33" t="e">
        <f>K124/I124</f>
        <v>#N/A</v>
      </c>
      <c r="Q124" s="28"/>
      <c r="R124" s="28" t="b">
        <v>1</v>
      </c>
    </row>
    <row r="125" spans="1:18" x14ac:dyDescent="0.15">
      <c r="A125" s="22">
        <v>124</v>
      </c>
      <c r="B125" s="22">
        <v>8665</v>
      </c>
      <c r="C125" s="23">
        <v>1</v>
      </c>
      <c r="D125" s="24" t="s">
        <v>1470</v>
      </c>
      <c r="E125" s="24" t="s">
        <v>252</v>
      </c>
      <c r="F125" s="25">
        <v>13176</v>
      </c>
      <c r="G125" s="25">
        <f>F125*1000000</f>
        <v>13176000000</v>
      </c>
      <c r="H125" s="25">
        <v>598</v>
      </c>
      <c r="I125" s="25">
        <f>H125*1000000</f>
        <v>598000000</v>
      </c>
      <c r="J125" s="24" t="s">
        <v>253</v>
      </c>
      <c r="K125" s="25">
        <v>239950351</v>
      </c>
      <c r="L125" s="23">
        <v>70016</v>
      </c>
      <c r="M125" s="23">
        <v>1808</v>
      </c>
      <c r="N125" s="22">
        <v>0</v>
      </c>
      <c r="O125" s="26">
        <f>K125/G125</f>
        <v>1.8211168108682452E-2</v>
      </c>
      <c r="P125" s="27">
        <f>K125/I125</f>
        <v>0.4012547675585284</v>
      </c>
      <c r="Q125" s="22" t="b">
        <v>1</v>
      </c>
    </row>
    <row r="126" spans="1:18" x14ac:dyDescent="0.15">
      <c r="A126" s="22">
        <v>125</v>
      </c>
      <c r="B126" s="22">
        <v>8648</v>
      </c>
      <c r="C126" s="23">
        <v>2</v>
      </c>
      <c r="D126" s="24" t="s">
        <v>1471</v>
      </c>
      <c r="E126" s="24" t="s">
        <v>254</v>
      </c>
      <c r="F126" s="25">
        <v>6032</v>
      </c>
      <c r="G126" s="25">
        <f>F126*1000000</f>
        <v>6032000000</v>
      </c>
      <c r="H126" s="25">
        <v>800</v>
      </c>
      <c r="I126" s="25">
        <f>H126*1000000</f>
        <v>800000000</v>
      </c>
      <c r="J126" s="24" t="s">
        <v>255</v>
      </c>
      <c r="K126" s="25">
        <v>294837138</v>
      </c>
      <c r="L126" s="23">
        <v>35000</v>
      </c>
      <c r="M126" s="23">
        <v>1357</v>
      </c>
      <c r="N126" s="22">
        <v>0</v>
      </c>
      <c r="O126" s="26">
        <f>K126/G126</f>
        <v>4.8878835875331567E-2</v>
      </c>
      <c r="P126" s="27">
        <f>K126/I126</f>
        <v>0.36854642250000003</v>
      </c>
      <c r="Q126" s="22" t="b">
        <v>1</v>
      </c>
    </row>
    <row r="127" spans="1:18" x14ac:dyDescent="0.15">
      <c r="A127" s="22">
        <v>126</v>
      </c>
      <c r="B127" s="22">
        <v>8600</v>
      </c>
      <c r="C127" s="23">
        <v>13</v>
      </c>
      <c r="D127" s="24" t="s">
        <v>1482</v>
      </c>
      <c r="E127" s="24" t="s">
        <v>256</v>
      </c>
      <c r="F127" s="25">
        <v>2761</v>
      </c>
      <c r="G127" s="25">
        <f>F127*1000000</f>
        <v>2761000000</v>
      </c>
      <c r="H127" s="25">
        <v>203</v>
      </c>
      <c r="I127" s="25">
        <f>H127*1000000</f>
        <v>203000000</v>
      </c>
      <c r="J127" s="24" t="s">
        <v>257</v>
      </c>
      <c r="K127" s="25">
        <v>38027508</v>
      </c>
      <c r="L127" s="23">
        <v>15661</v>
      </c>
      <c r="M127" s="23">
        <v>215</v>
      </c>
      <c r="N127" s="22">
        <v>0</v>
      </c>
      <c r="O127" s="26">
        <f>K127/G127</f>
        <v>1.3773092357841361E-2</v>
      </c>
      <c r="P127" s="27">
        <f>K127/I127</f>
        <v>0.18732762561576355</v>
      </c>
      <c r="Q127" s="22" t="b">
        <v>1</v>
      </c>
    </row>
    <row r="128" spans="1:18" x14ac:dyDescent="0.15">
      <c r="A128" s="28">
        <v>127</v>
      </c>
      <c r="B128" s="28">
        <v>8541</v>
      </c>
      <c r="C128" s="29">
        <v>16</v>
      </c>
      <c r="D128" s="30" t="s">
        <v>1485</v>
      </c>
      <c r="E128" s="30" t="s">
        <v>258</v>
      </c>
      <c r="F128" s="28" t="s">
        <v>248</v>
      </c>
      <c r="G128" s="31" t="e">
        <f>F128*1000000</f>
        <v>#VALUE!</v>
      </c>
      <c r="H128" s="28" t="s">
        <v>63</v>
      </c>
      <c r="I128" s="31" t="e">
        <f>H128*1000000</f>
        <v>#VALUE!</v>
      </c>
      <c r="J128" s="30" t="s">
        <v>88</v>
      </c>
      <c r="K128" s="28" t="e">
        <v>#N/A</v>
      </c>
      <c r="L128" s="29" t="s">
        <v>63</v>
      </c>
      <c r="M128" s="29" t="s">
        <v>63</v>
      </c>
      <c r="N128" s="28">
        <v>1</v>
      </c>
      <c r="O128" s="32" t="e">
        <f>K128/G128</f>
        <v>#N/A</v>
      </c>
      <c r="P128" s="33" t="e">
        <f>K128/I128</f>
        <v>#N/A</v>
      </c>
      <c r="Q128" s="28"/>
      <c r="R128" s="28" t="b">
        <v>1</v>
      </c>
    </row>
    <row r="129" spans="1:18" x14ac:dyDescent="0.15">
      <c r="A129" s="13">
        <v>128</v>
      </c>
      <c r="B129" s="13">
        <v>8448</v>
      </c>
      <c r="C129" s="16">
        <v>17</v>
      </c>
      <c r="D129" s="17" t="s">
        <v>1486</v>
      </c>
      <c r="E129" s="17" t="s">
        <v>259</v>
      </c>
      <c r="F129" s="12">
        <v>11895</v>
      </c>
      <c r="G129" s="12">
        <f>F129*1000000</f>
        <v>11895000000</v>
      </c>
      <c r="H129" s="12">
        <v>417</v>
      </c>
      <c r="I129" s="12">
        <f>H129*1000000</f>
        <v>417000000</v>
      </c>
      <c r="J129" s="17" t="s">
        <v>260</v>
      </c>
      <c r="K129" s="12">
        <v>32640000</v>
      </c>
      <c r="L129" s="4">
        <v>78000</v>
      </c>
      <c r="M129" s="4">
        <v>253</v>
      </c>
      <c r="N129" s="13">
        <v>1</v>
      </c>
      <c r="O129" s="18">
        <f>K129/G129</f>
        <v>2.7440100882723832E-3</v>
      </c>
      <c r="P129" s="19">
        <f>K129/I129</f>
        <v>7.8273381294964028E-2</v>
      </c>
      <c r="Q129" s="13"/>
    </row>
    <row r="130" spans="1:18" x14ac:dyDescent="0.15">
      <c r="A130" s="22">
        <v>129</v>
      </c>
      <c r="B130" s="22">
        <v>8397</v>
      </c>
      <c r="C130" s="23">
        <v>7</v>
      </c>
      <c r="D130" s="24" t="s">
        <v>1476</v>
      </c>
      <c r="E130" s="24" t="s">
        <v>261</v>
      </c>
      <c r="F130" s="25">
        <v>38644</v>
      </c>
      <c r="G130" s="25">
        <f>F130*1000000</f>
        <v>38644000000</v>
      </c>
      <c r="H130" s="22" t="s">
        <v>63</v>
      </c>
      <c r="I130" s="25" t="e">
        <f>H130*1000000</f>
        <v>#VALUE!</v>
      </c>
      <c r="J130" s="24" t="s">
        <v>88</v>
      </c>
      <c r="K130" s="25">
        <v>360515429</v>
      </c>
      <c r="L130" s="23">
        <v>117000</v>
      </c>
      <c r="M130" s="23">
        <v>2112</v>
      </c>
      <c r="N130" s="22">
        <v>0</v>
      </c>
      <c r="O130" s="26">
        <f>K130/G130</f>
        <v>9.3291436963047307E-3</v>
      </c>
      <c r="P130" s="27" t="e">
        <f>K130/I130</f>
        <v>#VALUE!</v>
      </c>
      <c r="Q130" s="22" t="b">
        <v>1</v>
      </c>
    </row>
    <row r="131" spans="1:18" x14ac:dyDescent="0.15">
      <c r="A131" s="13">
        <v>130</v>
      </c>
      <c r="B131" s="13">
        <v>8372</v>
      </c>
      <c r="C131" s="16">
        <v>8</v>
      </c>
      <c r="D131" s="17" t="s">
        <v>1477</v>
      </c>
      <c r="E131" s="17" t="s">
        <v>262</v>
      </c>
      <c r="F131" s="12">
        <v>18233</v>
      </c>
      <c r="G131" s="12">
        <f>F131*1000000</f>
        <v>18233000000</v>
      </c>
      <c r="H131" s="12">
        <v>1017</v>
      </c>
      <c r="I131" s="12">
        <f>H131*1000000</f>
        <v>1017000000</v>
      </c>
      <c r="J131" s="17" t="s">
        <v>263</v>
      </c>
      <c r="K131" s="12">
        <v>925000000</v>
      </c>
      <c r="L131" s="4">
        <v>44000</v>
      </c>
      <c r="M131" s="4">
        <v>3400</v>
      </c>
      <c r="N131" s="13">
        <v>1</v>
      </c>
      <c r="O131" s="18">
        <f>K131/G131</f>
        <v>5.0732188888279496E-2</v>
      </c>
      <c r="P131" s="19">
        <f>K131/I131</f>
        <v>0.90953785644051133</v>
      </c>
      <c r="Q131" s="13"/>
    </row>
    <row r="132" spans="1:18" x14ac:dyDescent="0.15">
      <c r="A132" s="22">
        <v>131</v>
      </c>
      <c r="B132" s="22">
        <v>8340</v>
      </c>
      <c r="C132" s="23">
        <v>7</v>
      </c>
      <c r="D132" s="24" t="s">
        <v>1476</v>
      </c>
      <c r="E132" s="24" t="s">
        <v>264</v>
      </c>
      <c r="F132" s="25">
        <v>16552</v>
      </c>
      <c r="G132" s="25">
        <f>F132*1000000</f>
        <v>16552000000</v>
      </c>
      <c r="H132" s="25">
        <v>919</v>
      </c>
      <c r="I132" s="25">
        <f>H132*1000000</f>
        <v>919000000</v>
      </c>
      <c r="J132" s="24" t="s">
        <v>88</v>
      </c>
      <c r="K132" s="25">
        <v>154415987</v>
      </c>
      <c r="L132" s="23">
        <v>25100</v>
      </c>
      <c r="M132" s="23">
        <v>904</v>
      </c>
      <c r="N132" s="22">
        <v>0</v>
      </c>
      <c r="O132" s="26">
        <f>K132/G132</f>
        <v>9.32914372885452E-3</v>
      </c>
      <c r="P132" s="27">
        <f>K132/I132</f>
        <v>0.16802610119695321</v>
      </c>
      <c r="Q132" s="22" t="b">
        <v>1</v>
      </c>
    </row>
    <row r="133" spans="1:18" x14ac:dyDescent="0.15">
      <c r="A133" s="22">
        <v>132</v>
      </c>
      <c r="B133" s="22">
        <v>8302</v>
      </c>
      <c r="C133" s="23">
        <v>18</v>
      </c>
      <c r="D133" s="24" t="s">
        <v>1487</v>
      </c>
      <c r="E133" s="24" t="s">
        <v>265</v>
      </c>
      <c r="F133" s="25">
        <v>16845</v>
      </c>
      <c r="G133" s="25">
        <f>F133*1000000</f>
        <v>16845000000</v>
      </c>
      <c r="H133" s="25">
        <v>2160</v>
      </c>
      <c r="I133" s="25">
        <f>H133*1000000</f>
        <v>2160000000</v>
      </c>
      <c r="J133" s="24" t="s">
        <v>266</v>
      </c>
      <c r="K133" s="25">
        <v>839855170</v>
      </c>
      <c r="L133" s="23">
        <v>92100</v>
      </c>
      <c r="M133" s="23">
        <v>3587</v>
      </c>
      <c r="N133" s="22">
        <v>0</v>
      </c>
      <c r="O133" s="26">
        <f>K133/G133</f>
        <v>4.985783140397744E-2</v>
      </c>
      <c r="P133" s="27">
        <f>K133/I133</f>
        <v>0.38882183796296299</v>
      </c>
      <c r="Q133" s="22" t="b">
        <v>1</v>
      </c>
    </row>
    <row r="134" spans="1:18" x14ac:dyDescent="0.15">
      <c r="A134" s="28">
        <v>133</v>
      </c>
      <c r="B134" s="28">
        <v>8252</v>
      </c>
      <c r="C134" s="29">
        <v>17</v>
      </c>
      <c r="D134" s="30" t="s">
        <v>1486</v>
      </c>
      <c r="E134" s="30" t="s">
        <v>267</v>
      </c>
      <c r="F134" s="31">
        <v>4250</v>
      </c>
      <c r="G134" s="31">
        <f>F134*1000000</f>
        <v>4250000000</v>
      </c>
      <c r="H134" s="28" t="s">
        <v>63</v>
      </c>
      <c r="I134" s="31" t="e">
        <f>H134*1000000</f>
        <v>#VALUE!</v>
      </c>
      <c r="J134" s="30" t="s">
        <v>268</v>
      </c>
      <c r="K134" s="28" t="e">
        <v>#N/A</v>
      </c>
      <c r="L134" s="29">
        <v>60000</v>
      </c>
      <c r="M134" s="29">
        <v>140</v>
      </c>
      <c r="N134" s="28">
        <v>1</v>
      </c>
      <c r="O134" s="32" t="e">
        <f>K134/G134</f>
        <v>#N/A</v>
      </c>
      <c r="P134" s="33" t="e">
        <f>K134/I134</f>
        <v>#N/A</v>
      </c>
      <c r="Q134" s="28"/>
      <c r="R134" s="28" t="b">
        <v>1</v>
      </c>
    </row>
    <row r="135" spans="1:18" x14ac:dyDescent="0.15">
      <c r="A135" s="22">
        <v>134</v>
      </c>
      <c r="B135" s="22">
        <v>8092</v>
      </c>
      <c r="C135" s="23">
        <v>19</v>
      </c>
      <c r="D135" s="24" t="s">
        <v>1488</v>
      </c>
      <c r="E135" s="24" t="s">
        <v>269</v>
      </c>
      <c r="F135" s="25">
        <v>2000</v>
      </c>
      <c r="G135" s="25">
        <f>F135*1000000</f>
        <v>2000000000</v>
      </c>
      <c r="H135" s="22" t="s">
        <v>63</v>
      </c>
      <c r="I135" s="25" t="e">
        <f>H135*1000000</f>
        <v>#VALUE!</v>
      </c>
      <c r="J135" s="24" t="s">
        <v>270</v>
      </c>
      <c r="K135" s="25">
        <v>54976840</v>
      </c>
      <c r="L135" s="23">
        <v>2729</v>
      </c>
      <c r="M135" s="23">
        <v>360</v>
      </c>
      <c r="N135" s="22">
        <v>0</v>
      </c>
      <c r="O135" s="26">
        <f>K135/G135</f>
        <v>2.748842E-2</v>
      </c>
      <c r="P135" s="27" t="e">
        <f>K135/I135</f>
        <v>#VALUE!</v>
      </c>
      <c r="Q135" s="22" t="b">
        <v>1</v>
      </c>
    </row>
    <row r="136" spans="1:18" x14ac:dyDescent="0.15">
      <c r="A136" s="7">
        <v>135</v>
      </c>
      <c r="B136" s="7">
        <v>8006</v>
      </c>
      <c r="C136" s="8">
        <v>12</v>
      </c>
      <c r="D136" s="9" t="s">
        <v>1481</v>
      </c>
      <c r="E136" s="9" t="s">
        <v>271</v>
      </c>
      <c r="F136" s="10">
        <v>7996</v>
      </c>
      <c r="G136" s="10">
        <f>F136*1000000</f>
        <v>7996000000</v>
      </c>
      <c r="H136" s="10">
        <v>71</v>
      </c>
      <c r="I136" s="10">
        <f>H136*1000000</f>
        <v>71000000</v>
      </c>
      <c r="J136" s="9" t="s">
        <v>272</v>
      </c>
      <c r="K136" s="10">
        <v>30320832</v>
      </c>
      <c r="L136" s="8">
        <v>30600</v>
      </c>
      <c r="M136" s="8">
        <v>243</v>
      </c>
      <c r="N136" s="7">
        <v>0</v>
      </c>
      <c r="O136" s="14">
        <f>K136/G136</f>
        <v>3.7919999999999998E-3</v>
      </c>
      <c r="P136" s="15">
        <f>K136/I136</f>
        <v>0.42705397183098592</v>
      </c>
      <c r="Q136" s="7"/>
    </row>
    <row r="137" spans="1:18" x14ac:dyDescent="0.15">
      <c r="A137" s="7">
        <v>136</v>
      </c>
      <c r="B137" s="7">
        <v>7941</v>
      </c>
      <c r="C137" s="8">
        <v>12</v>
      </c>
      <c r="D137" s="9" t="s">
        <v>1481</v>
      </c>
      <c r="E137" s="9" t="s">
        <v>273</v>
      </c>
      <c r="F137" s="10">
        <v>13687</v>
      </c>
      <c r="G137" s="10">
        <f>F137*1000000</f>
        <v>13687000000</v>
      </c>
      <c r="H137" s="10">
        <v>554</v>
      </c>
      <c r="I137" s="10">
        <f>H137*1000000</f>
        <v>554000000</v>
      </c>
      <c r="J137" s="9" t="s">
        <v>274</v>
      </c>
      <c r="K137" s="10">
        <v>418204916</v>
      </c>
      <c r="L137" s="8">
        <v>110400</v>
      </c>
      <c r="M137" s="8">
        <v>2007</v>
      </c>
      <c r="N137" s="7">
        <v>0</v>
      </c>
      <c r="O137" s="14">
        <f>K137/G137</f>
        <v>3.055489997808139E-2</v>
      </c>
      <c r="P137" s="15">
        <f>K137/I137</f>
        <v>0.75488251985559562</v>
      </c>
      <c r="Q137" s="7"/>
    </row>
    <row r="138" spans="1:18" x14ac:dyDescent="0.15">
      <c r="A138" s="13">
        <v>137</v>
      </c>
      <c r="B138" s="13">
        <v>7935</v>
      </c>
      <c r="C138" s="16">
        <v>12</v>
      </c>
      <c r="D138" s="17" t="s">
        <v>1481</v>
      </c>
      <c r="E138" s="17" t="s">
        <v>275</v>
      </c>
      <c r="F138" s="12">
        <v>5749</v>
      </c>
      <c r="G138" s="12">
        <f>F138*1000000</f>
        <v>5749000000</v>
      </c>
      <c r="H138" s="12">
        <v>-129</v>
      </c>
      <c r="I138" s="12">
        <f>H138*1000000</f>
        <v>-129000000</v>
      </c>
      <c r="J138" s="17" t="s">
        <v>276</v>
      </c>
      <c r="K138" s="12">
        <v>40000000</v>
      </c>
      <c r="L138" s="4">
        <v>28000</v>
      </c>
      <c r="M138" s="4">
        <v>130</v>
      </c>
      <c r="N138" s="13">
        <v>1</v>
      </c>
      <c r="O138" s="18">
        <f>K138/G138</f>
        <v>6.9577317794399024E-3</v>
      </c>
      <c r="P138" s="19">
        <f>K138/I138</f>
        <v>-0.31007751937984496</v>
      </c>
      <c r="Q138" s="13"/>
    </row>
    <row r="139" spans="1:18" x14ac:dyDescent="0.15">
      <c r="A139" s="13">
        <v>138</v>
      </c>
      <c r="B139" s="13">
        <v>7928</v>
      </c>
      <c r="C139" s="16">
        <v>12</v>
      </c>
      <c r="D139" s="17" t="s">
        <v>1481</v>
      </c>
      <c r="E139" s="17" t="s">
        <v>277</v>
      </c>
      <c r="F139" s="12">
        <v>4858</v>
      </c>
      <c r="G139" s="12">
        <f>F139*1000000</f>
        <v>4858000000</v>
      </c>
      <c r="H139" s="12">
        <v>289</v>
      </c>
      <c r="I139" s="12">
        <f>H139*1000000</f>
        <v>289000000</v>
      </c>
      <c r="J139" s="17" t="s">
        <v>278</v>
      </c>
      <c r="K139" s="12">
        <v>18000000</v>
      </c>
      <c r="L139" s="4">
        <v>21000</v>
      </c>
      <c r="M139" s="4">
        <v>400</v>
      </c>
      <c r="N139" s="13">
        <v>1</v>
      </c>
      <c r="O139" s="18">
        <f>K139/G139</f>
        <v>3.7052284890901604E-3</v>
      </c>
      <c r="P139" s="19">
        <f>K139/I139</f>
        <v>6.228373702422145E-2</v>
      </c>
      <c r="Q139" s="13"/>
    </row>
    <row r="140" spans="1:18" x14ac:dyDescent="0.15">
      <c r="A140" s="13">
        <v>139</v>
      </c>
      <c r="B140" s="13">
        <v>7839</v>
      </c>
      <c r="C140" s="16">
        <v>3</v>
      </c>
      <c r="D140" s="17" t="s">
        <v>1472</v>
      </c>
      <c r="E140" s="17" t="s">
        <v>279</v>
      </c>
      <c r="F140" s="12">
        <v>2658</v>
      </c>
      <c r="G140" s="12">
        <f>F140*1000000</f>
        <v>2658000000</v>
      </c>
      <c r="H140" s="12">
        <v>91</v>
      </c>
      <c r="I140" s="12">
        <f>H140*1000000</f>
        <v>91000000</v>
      </c>
      <c r="J140" s="17" t="s">
        <v>280</v>
      </c>
      <c r="K140" s="12">
        <v>30000000</v>
      </c>
      <c r="L140" s="4">
        <v>12438</v>
      </c>
      <c r="M140" s="4">
        <v>242</v>
      </c>
      <c r="N140" s="13">
        <v>1</v>
      </c>
      <c r="O140" s="18">
        <f>K140/G140</f>
        <v>1.1286681715575621E-2</v>
      </c>
      <c r="P140" s="19">
        <f>K140/I140</f>
        <v>0.32967032967032966</v>
      </c>
      <c r="Q140" s="13"/>
    </row>
    <row r="141" spans="1:18" x14ac:dyDescent="0.15">
      <c r="A141" s="22">
        <v>140</v>
      </c>
      <c r="B141" s="22">
        <v>7836</v>
      </c>
      <c r="C141" s="23">
        <v>13</v>
      </c>
      <c r="D141" s="24" t="s">
        <v>1482</v>
      </c>
      <c r="E141" s="24" t="s">
        <v>281</v>
      </c>
      <c r="F141" s="25">
        <v>5320</v>
      </c>
      <c r="G141" s="25">
        <f>F141*1000000</f>
        <v>5320000000</v>
      </c>
      <c r="H141" s="22" t="s">
        <v>63</v>
      </c>
      <c r="I141" s="25" t="e">
        <f>H141*1000000</f>
        <v>#VALUE!</v>
      </c>
      <c r="J141" s="24" t="s">
        <v>88</v>
      </c>
      <c r="K141" s="25">
        <v>73272852</v>
      </c>
      <c r="L141" s="23">
        <v>19000</v>
      </c>
      <c r="M141" s="23">
        <v>415</v>
      </c>
      <c r="N141" s="22">
        <v>0</v>
      </c>
      <c r="O141" s="26">
        <f>K141/G141</f>
        <v>1.3773092481203007E-2</v>
      </c>
      <c r="P141" s="27" t="e">
        <f>K141/I141</f>
        <v>#VALUE!</v>
      </c>
      <c r="Q141" s="22" t="b">
        <v>1</v>
      </c>
    </row>
    <row r="142" spans="1:18" x14ac:dyDescent="0.15">
      <c r="A142" s="13">
        <v>141</v>
      </c>
      <c r="B142" s="13">
        <v>7835</v>
      </c>
      <c r="C142" s="16">
        <v>7</v>
      </c>
      <c r="D142" s="17" t="s">
        <v>1476</v>
      </c>
      <c r="E142" s="17" t="s">
        <v>282</v>
      </c>
      <c r="F142" s="12">
        <v>7965</v>
      </c>
      <c r="G142" s="12">
        <f>F142*1000000</f>
        <v>7965000000</v>
      </c>
      <c r="H142" s="12">
        <v>124</v>
      </c>
      <c r="I142" s="12">
        <f>H142*1000000</f>
        <v>124000000</v>
      </c>
      <c r="J142" s="17" t="s">
        <v>283</v>
      </c>
      <c r="K142" s="12">
        <v>89000000</v>
      </c>
      <c r="L142" s="4">
        <v>13000</v>
      </c>
      <c r="M142" s="4">
        <v>400</v>
      </c>
      <c r="N142" s="13">
        <v>1</v>
      </c>
      <c r="O142" s="18">
        <f>K142/G142</f>
        <v>1.1173885750156936E-2</v>
      </c>
      <c r="P142" s="19">
        <f>K142/I142</f>
        <v>0.717741935483871</v>
      </c>
      <c r="Q142" s="13"/>
    </row>
    <row r="143" spans="1:18" x14ac:dyDescent="0.15">
      <c r="A143" s="22">
        <v>142</v>
      </c>
      <c r="B143" s="22">
        <v>7812</v>
      </c>
      <c r="C143" s="23">
        <v>18</v>
      </c>
      <c r="D143" s="24" t="s">
        <v>1487</v>
      </c>
      <c r="E143" s="24" t="s">
        <v>284</v>
      </c>
      <c r="F143" s="25">
        <v>2962</v>
      </c>
      <c r="G143" s="25">
        <f>F143*1000000</f>
        <v>2962000000</v>
      </c>
      <c r="H143" s="25">
        <v>304</v>
      </c>
      <c r="I143" s="25">
        <f>H143*1000000</f>
        <v>304000000</v>
      </c>
      <c r="J143" s="24" t="s">
        <v>285</v>
      </c>
      <c r="K143" s="25">
        <v>147678897</v>
      </c>
      <c r="L143" s="23">
        <v>16333</v>
      </c>
      <c r="M143" s="23">
        <v>631</v>
      </c>
      <c r="N143" s="22">
        <v>0</v>
      </c>
      <c r="O143" s="26">
        <f>K143/G143</f>
        <v>4.9857831532748143E-2</v>
      </c>
      <c r="P143" s="27">
        <f>K143/I143</f>
        <v>0.48578584539473685</v>
      </c>
      <c r="Q143" s="22" t="b">
        <v>1</v>
      </c>
    </row>
    <row r="144" spans="1:18" x14ac:dyDescent="0.15">
      <c r="A144" s="22">
        <v>143</v>
      </c>
      <c r="B144" s="22">
        <v>7786</v>
      </c>
      <c r="C144" s="23">
        <v>13</v>
      </c>
      <c r="D144" s="24" t="s">
        <v>1482</v>
      </c>
      <c r="E144" s="24" t="s">
        <v>286</v>
      </c>
      <c r="F144" s="25">
        <v>2091</v>
      </c>
      <c r="G144" s="25">
        <f>F144*1000000</f>
        <v>2091000000</v>
      </c>
      <c r="H144" s="25">
        <v>181</v>
      </c>
      <c r="I144" s="25">
        <f>H144*1000000</f>
        <v>181000000</v>
      </c>
      <c r="J144" s="24" t="s">
        <v>287</v>
      </c>
      <c r="K144" s="25">
        <v>28799536</v>
      </c>
      <c r="L144" s="23">
        <v>10006</v>
      </c>
      <c r="M144" s="23">
        <v>500</v>
      </c>
      <c r="N144" s="22">
        <v>0</v>
      </c>
      <c r="O144" s="26">
        <f>K144/G144</f>
        <v>1.3773092300334768E-2</v>
      </c>
      <c r="P144" s="27">
        <f>K144/I144</f>
        <v>0.1591134585635359</v>
      </c>
      <c r="Q144" s="22" t="b">
        <v>1</v>
      </c>
    </row>
    <row r="145" spans="1:18" x14ac:dyDescent="0.15">
      <c r="A145" s="22">
        <v>144</v>
      </c>
      <c r="B145" s="22">
        <v>7740</v>
      </c>
      <c r="C145" s="23">
        <v>7</v>
      </c>
      <c r="D145" s="24" t="s">
        <v>1476</v>
      </c>
      <c r="E145" s="24" t="s">
        <v>288</v>
      </c>
      <c r="F145" s="25">
        <v>5741</v>
      </c>
      <c r="G145" s="25">
        <f>F145*1000000</f>
        <v>5741000000</v>
      </c>
      <c r="H145" s="25">
        <v>178</v>
      </c>
      <c r="I145" s="25">
        <f>H145*1000000</f>
        <v>178000000</v>
      </c>
      <c r="J145" s="24" t="s">
        <v>289</v>
      </c>
      <c r="K145" s="25">
        <v>53558614</v>
      </c>
      <c r="L145" s="23">
        <v>57200</v>
      </c>
      <c r="M145" s="23">
        <v>314</v>
      </c>
      <c r="N145" s="22">
        <v>0</v>
      </c>
      <c r="O145" s="26">
        <f>K145/G145</f>
        <v>9.3291437031875982E-3</v>
      </c>
      <c r="P145" s="27">
        <f>K145/I145</f>
        <v>0.30089108988764046</v>
      </c>
      <c r="Q145" s="22" t="b">
        <v>1</v>
      </c>
      <c r="R145" s="13"/>
    </row>
    <row r="146" spans="1:18" x14ac:dyDescent="0.15">
      <c r="A146" s="22">
        <v>145</v>
      </c>
      <c r="B146" s="22">
        <v>7702</v>
      </c>
      <c r="C146" s="23">
        <v>14</v>
      </c>
      <c r="D146" s="24" t="s">
        <v>1483</v>
      </c>
      <c r="E146" s="24" t="s">
        <v>290</v>
      </c>
      <c r="F146" s="25">
        <v>2938</v>
      </c>
      <c r="G146" s="25">
        <f>F146*1000000</f>
        <v>2938000000</v>
      </c>
      <c r="H146" s="25">
        <v>131</v>
      </c>
      <c r="I146" s="25">
        <f>H146*1000000</f>
        <v>131000000</v>
      </c>
      <c r="J146" s="24" t="s">
        <v>291</v>
      </c>
      <c r="K146" s="25">
        <v>23893334</v>
      </c>
      <c r="L146" s="23">
        <v>2000</v>
      </c>
      <c r="M146" s="23">
        <v>125</v>
      </c>
      <c r="N146" s="22">
        <v>0</v>
      </c>
      <c r="O146" s="26">
        <f>K146/G146</f>
        <v>8.1325166780122533E-3</v>
      </c>
      <c r="P146" s="27">
        <f>K146/I146</f>
        <v>0.18239186259541984</v>
      </c>
      <c r="Q146" s="22" t="b">
        <v>1</v>
      </c>
    </row>
    <row r="147" spans="1:18" x14ac:dyDescent="0.15">
      <c r="A147" s="13">
        <v>146</v>
      </c>
      <c r="B147" s="13">
        <v>7672</v>
      </c>
      <c r="C147" s="16">
        <v>7</v>
      </c>
      <c r="D147" s="17" t="s">
        <v>1476</v>
      </c>
      <c r="E147" s="17" t="s">
        <v>292</v>
      </c>
      <c r="F147" s="12">
        <v>9236</v>
      </c>
      <c r="G147" s="12">
        <f>F147*1000000</f>
        <v>9236000000</v>
      </c>
      <c r="H147" s="12">
        <v>-36</v>
      </c>
      <c r="I147" s="12">
        <f>H147*1000000</f>
        <v>-36000000</v>
      </c>
      <c r="J147" s="17" t="s">
        <v>293</v>
      </c>
      <c r="K147" s="12">
        <v>78000000</v>
      </c>
      <c r="L147" s="4">
        <v>24000</v>
      </c>
      <c r="M147" s="4">
        <v>500</v>
      </c>
      <c r="N147" s="13">
        <v>1</v>
      </c>
      <c r="O147" s="18">
        <f>K147/G147</f>
        <v>8.445214378518839E-3</v>
      </c>
      <c r="P147" s="19">
        <f>K147/I147</f>
        <v>-2.1666666666666665</v>
      </c>
      <c r="Q147" s="13"/>
    </row>
    <row r="148" spans="1:18" x14ac:dyDescent="0.15">
      <c r="A148" s="22">
        <v>147</v>
      </c>
      <c r="B148" s="22">
        <v>7634</v>
      </c>
      <c r="C148" s="23">
        <v>12</v>
      </c>
      <c r="D148" s="24" t="s">
        <v>1481</v>
      </c>
      <c r="E148" s="24" t="s">
        <v>294</v>
      </c>
      <c r="F148" s="25">
        <v>2199</v>
      </c>
      <c r="G148" s="25">
        <f>F148*1000000</f>
        <v>2199000000</v>
      </c>
      <c r="H148" s="22" t="s">
        <v>63</v>
      </c>
      <c r="I148" s="25" t="e">
        <f>H148*1000000</f>
        <v>#VALUE!</v>
      </c>
      <c r="J148" s="24" t="s">
        <v>88</v>
      </c>
      <c r="K148" s="25">
        <v>27763268</v>
      </c>
      <c r="L148" s="23">
        <v>13416</v>
      </c>
      <c r="M148" s="23">
        <v>189</v>
      </c>
      <c r="N148" s="22">
        <v>0</v>
      </c>
      <c r="O148" s="26">
        <f>K148/G148</f>
        <v>1.2625406093678945E-2</v>
      </c>
      <c r="P148" s="27" t="e">
        <f>K148/I148</f>
        <v>#VALUE!</v>
      </c>
      <c r="Q148" s="22" t="b">
        <v>1</v>
      </c>
    </row>
    <row r="149" spans="1:18" x14ac:dyDescent="0.15">
      <c r="A149" s="13">
        <v>148</v>
      </c>
      <c r="B149" s="13">
        <v>7627</v>
      </c>
      <c r="C149" s="16">
        <v>6</v>
      </c>
      <c r="D149" s="17" t="s">
        <v>1475</v>
      </c>
      <c r="E149" s="17" t="s">
        <v>295</v>
      </c>
      <c r="F149" s="12">
        <v>10315</v>
      </c>
      <c r="G149" s="12">
        <f>F149*1000000</f>
        <v>10315000000</v>
      </c>
      <c r="H149" s="12">
        <v>691</v>
      </c>
      <c r="I149" s="12">
        <f>H149*1000000</f>
        <v>691000000</v>
      </c>
      <c r="J149" s="17" t="s">
        <v>296</v>
      </c>
      <c r="K149" s="12">
        <v>200000000</v>
      </c>
      <c r="L149" s="4">
        <v>56000</v>
      </c>
      <c r="M149" s="4">
        <v>2100</v>
      </c>
      <c r="N149" s="13">
        <v>1</v>
      </c>
      <c r="O149" s="18">
        <f>K149/G149</f>
        <v>1.9389238972370333E-2</v>
      </c>
      <c r="P149" s="19">
        <f>K149/I149</f>
        <v>0.28943560057887119</v>
      </c>
      <c r="Q149" s="13"/>
    </row>
    <row r="150" spans="1:18" x14ac:dyDescent="0.15">
      <c r="A150" s="22">
        <v>149</v>
      </c>
      <c r="B150" s="22">
        <v>7605</v>
      </c>
      <c r="C150" s="23">
        <v>11</v>
      </c>
      <c r="D150" s="24" t="s">
        <v>1480</v>
      </c>
      <c r="E150" s="24" t="s">
        <v>297</v>
      </c>
      <c r="F150" s="25">
        <v>24463</v>
      </c>
      <c r="G150" s="25">
        <f>F150*1000000</f>
        <v>24463000000</v>
      </c>
      <c r="H150" s="22" t="s">
        <v>63</v>
      </c>
      <c r="I150" s="25" t="e">
        <f>H150*1000000</f>
        <v>#VALUE!</v>
      </c>
      <c r="J150" s="24" t="s">
        <v>298</v>
      </c>
      <c r="K150" s="25">
        <v>457118830</v>
      </c>
      <c r="L150" s="23">
        <v>27000</v>
      </c>
      <c r="M150" s="23">
        <v>3813</v>
      </c>
      <c r="N150" s="22">
        <v>0</v>
      </c>
      <c r="O150" s="26">
        <f>K150/G150</f>
        <v>1.8686131300331112E-2</v>
      </c>
      <c r="P150" s="27" t="e">
        <f>K150/I150</f>
        <v>#VALUE!</v>
      </c>
      <c r="Q150" s="22" t="b">
        <v>1</v>
      </c>
    </row>
    <row r="151" spans="1:18" x14ac:dyDescent="0.15">
      <c r="A151" s="7">
        <v>150</v>
      </c>
      <c r="B151" s="7">
        <v>7577</v>
      </c>
      <c r="C151" s="8">
        <v>2</v>
      </c>
      <c r="D151" s="9" t="s">
        <v>1471</v>
      </c>
      <c r="E151" s="9" t="s">
        <v>299</v>
      </c>
      <c r="F151" s="10">
        <v>4246</v>
      </c>
      <c r="G151" s="10">
        <f>F151*1000000</f>
        <v>4246000000</v>
      </c>
      <c r="H151" s="10">
        <v>734</v>
      </c>
      <c r="I151" s="10">
        <f>H151*1000000</f>
        <v>734000000</v>
      </c>
      <c r="J151" s="9" t="s">
        <v>300</v>
      </c>
      <c r="K151" s="10">
        <v>139012766</v>
      </c>
      <c r="L151" s="8">
        <v>27000</v>
      </c>
      <c r="M151" s="8">
        <v>832</v>
      </c>
      <c r="N151" s="7">
        <v>0</v>
      </c>
      <c r="O151" s="14">
        <f>K151/G151</f>
        <v>3.2739699952896842E-2</v>
      </c>
      <c r="P151" s="15">
        <f>K151/I151</f>
        <v>0.18939068937329701</v>
      </c>
      <c r="Q151" s="7"/>
    </row>
    <row r="152" spans="1:18" x14ac:dyDescent="0.15">
      <c r="A152" s="22">
        <v>151</v>
      </c>
      <c r="B152" s="22">
        <v>7558</v>
      </c>
      <c r="C152" s="23">
        <v>14</v>
      </c>
      <c r="D152" s="24" t="s">
        <v>1483</v>
      </c>
      <c r="E152" s="24" t="s">
        <v>301</v>
      </c>
      <c r="F152" s="25">
        <v>4558</v>
      </c>
      <c r="G152" s="25">
        <f>F152*1000000</f>
        <v>4558000000</v>
      </c>
      <c r="H152" s="25">
        <v>90</v>
      </c>
      <c r="I152" s="25">
        <f>H152*1000000</f>
        <v>90000000</v>
      </c>
      <c r="J152" s="24" t="s">
        <v>302</v>
      </c>
      <c r="K152" s="25">
        <v>37068012</v>
      </c>
      <c r="L152" s="23">
        <v>16100</v>
      </c>
      <c r="M152" s="23">
        <v>255</v>
      </c>
      <c r="N152" s="22">
        <v>0</v>
      </c>
      <c r="O152" s="26">
        <f>K152/G152</f>
        <v>8.1325168933742871E-3</v>
      </c>
      <c r="P152" s="27">
        <f>K152/I152</f>
        <v>0.41186679999999998</v>
      </c>
      <c r="Q152" s="22" t="b">
        <v>1</v>
      </c>
    </row>
    <row r="153" spans="1:18" x14ac:dyDescent="0.15">
      <c r="A153" s="22">
        <v>152</v>
      </c>
      <c r="B153" s="22">
        <v>7504</v>
      </c>
      <c r="C153" s="23">
        <v>8</v>
      </c>
      <c r="D153" s="24" t="s">
        <v>1477</v>
      </c>
      <c r="E153" s="24" t="s">
        <v>303</v>
      </c>
      <c r="F153" s="25">
        <v>14282</v>
      </c>
      <c r="G153" s="25">
        <f>F153*1000000</f>
        <v>14282000000</v>
      </c>
      <c r="H153" s="25">
        <v>1380</v>
      </c>
      <c r="I153" s="25">
        <f>H153*1000000</f>
        <v>1380000000</v>
      </c>
      <c r="J153" s="24" t="s">
        <v>304</v>
      </c>
      <c r="K153" s="25">
        <v>941930731</v>
      </c>
      <c r="L153" s="23">
        <v>72412</v>
      </c>
      <c r="M153" s="23">
        <v>3015</v>
      </c>
      <c r="N153" s="22">
        <v>0</v>
      </c>
      <c r="O153" s="26">
        <f>K153/G153</f>
        <v>6.5952298767679593E-2</v>
      </c>
      <c r="P153" s="27">
        <f>K153/I153</f>
        <v>0.68255850072463764</v>
      </c>
      <c r="Q153" s="22" t="b">
        <v>1</v>
      </c>
    </row>
    <row r="154" spans="1:18" x14ac:dyDescent="0.15">
      <c r="A154" s="22">
        <v>153</v>
      </c>
      <c r="B154" s="22">
        <v>7470</v>
      </c>
      <c r="C154" s="23">
        <v>13</v>
      </c>
      <c r="D154" s="24" t="s">
        <v>1482</v>
      </c>
      <c r="E154" s="24" t="s">
        <v>305</v>
      </c>
      <c r="F154" s="25">
        <v>2300</v>
      </c>
      <c r="G154" s="25">
        <f>F154*1000000</f>
        <v>2300000000</v>
      </c>
      <c r="H154" s="22" t="s">
        <v>63</v>
      </c>
      <c r="I154" s="25" t="e">
        <f>H154*1000000</f>
        <v>#VALUE!</v>
      </c>
      <c r="J154" s="24" t="s">
        <v>306</v>
      </c>
      <c r="K154" s="25">
        <v>31678113</v>
      </c>
      <c r="L154" s="23">
        <v>15000</v>
      </c>
      <c r="M154" s="23">
        <v>179</v>
      </c>
      <c r="N154" s="22">
        <v>0</v>
      </c>
      <c r="O154" s="26">
        <f>K154/G154</f>
        <v>1.3773092608695652E-2</v>
      </c>
      <c r="P154" s="27" t="e">
        <f>K154/I154</f>
        <v>#VALUE!</v>
      </c>
      <c r="Q154" s="22" t="b">
        <v>1</v>
      </c>
    </row>
    <row r="155" spans="1:18" x14ac:dyDescent="0.15">
      <c r="A155" s="13">
        <v>154</v>
      </c>
      <c r="B155" s="13">
        <v>7451</v>
      </c>
      <c r="C155" s="16">
        <v>14</v>
      </c>
      <c r="D155" s="17" t="s">
        <v>1483</v>
      </c>
      <c r="E155" s="17" t="s">
        <v>307</v>
      </c>
      <c r="F155" s="12">
        <v>3396</v>
      </c>
      <c r="G155" s="12">
        <f>F155*1000000</f>
        <v>3396000000</v>
      </c>
      <c r="H155" s="12">
        <v>117</v>
      </c>
      <c r="I155" s="12">
        <f>H155*1000000</f>
        <v>117000000</v>
      </c>
      <c r="J155" s="17" t="s">
        <v>308</v>
      </c>
      <c r="K155" s="12">
        <v>40000000</v>
      </c>
      <c r="L155" s="4">
        <v>21000</v>
      </c>
      <c r="M155" s="4">
        <v>300</v>
      </c>
      <c r="N155" s="13">
        <v>1</v>
      </c>
      <c r="O155" s="18">
        <f>K155/G155</f>
        <v>1.1778563015312132E-2</v>
      </c>
      <c r="P155" s="19">
        <f>K155/I155</f>
        <v>0.34188034188034189</v>
      </c>
      <c r="Q155" s="13"/>
    </row>
    <row r="156" spans="1:18" x14ac:dyDescent="0.15">
      <c r="A156" s="22">
        <v>155</v>
      </c>
      <c r="B156" s="22">
        <v>7401</v>
      </c>
      <c r="C156" s="23">
        <v>12</v>
      </c>
      <c r="D156" s="24" t="s">
        <v>1481</v>
      </c>
      <c r="E156" s="24" t="s">
        <v>309</v>
      </c>
      <c r="F156" s="25">
        <v>4737</v>
      </c>
      <c r="G156" s="25">
        <f>F156*1000000</f>
        <v>4737000000</v>
      </c>
      <c r="H156" s="25">
        <v>253</v>
      </c>
      <c r="I156" s="25">
        <f>H156*1000000</f>
        <v>253000000</v>
      </c>
      <c r="J156" s="24" t="s">
        <v>310</v>
      </c>
      <c r="K156" s="25">
        <v>59806549</v>
      </c>
      <c r="L156" s="23">
        <v>23600</v>
      </c>
      <c r="M156" s="23">
        <v>408</v>
      </c>
      <c r="N156" s="22">
        <v>0</v>
      </c>
      <c r="O156" s="26">
        <f>K156/G156</f>
        <v>1.262540616423897E-2</v>
      </c>
      <c r="P156" s="27">
        <f>K156/I156</f>
        <v>0.23638952173913044</v>
      </c>
      <c r="Q156" s="22" t="b">
        <v>1</v>
      </c>
    </row>
    <row r="157" spans="1:18" x14ac:dyDescent="0.15">
      <c r="A157" s="7">
        <v>156</v>
      </c>
      <c r="B157" s="7">
        <v>7367</v>
      </c>
      <c r="C157" s="8">
        <v>2</v>
      </c>
      <c r="D157" s="9" t="s">
        <v>1471</v>
      </c>
      <c r="E157" s="9" t="s">
        <v>311</v>
      </c>
      <c r="F157" s="10">
        <v>5095</v>
      </c>
      <c r="G157" s="10">
        <f>F157*1000000</f>
        <v>5095000000</v>
      </c>
      <c r="H157" s="10">
        <v>690</v>
      </c>
      <c r="I157" s="10">
        <f>H157*1000000</f>
        <v>690000000</v>
      </c>
      <c r="J157" s="9" t="s">
        <v>312</v>
      </c>
      <c r="K157" s="10">
        <v>283628460</v>
      </c>
      <c r="L157" s="8">
        <v>17630</v>
      </c>
      <c r="M157" s="8">
        <v>1547</v>
      </c>
      <c r="N157" s="7">
        <v>0</v>
      </c>
      <c r="O157" s="14">
        <f>K157/G157</f>
        <v>5.5668000000000002E-2</v>
      </c>
      <c r="P157" s="15">
        <f>K157/I157</f>
        <v>0.41105573913043481</v>
      </c>
      <c r="Q157" s="7"/>
    </row>
    <row r="158" spans="1:18" x14ac:dyDescent="0.15">
      <c r="A158" s="13">
        <v>157</v>
      </c>
      <c r="B158" s="13">
        <v>7355</v>
      </c>
      <c r="C158" s="16">
        <v>12</v>
      </c>
      <c r="D158" s="17" t="s">
        <v>1481</v>
      </c>
      <c r="E158" s="17" t="s">
        <v>313</v>
      </c>
      <c r="F158" s="12">
        <v>14328</v>
      </c>
      <c r="G158" s="12">
        <f>F158*1000000</f>
        <v>14328000000</v>
      </c>
      <c r="H158" s="12">
        <v>955</v>
      </c>
      <c r="I158" s="12">
        <f>H158*1000000</f>
        <v>955000000</v>
      </c>
      <c r="J158" s="17" t="s">
        <v>314</v>
      </c>
      <c r="K158" s="12">
        <v>375000000</v>
      </c>
      <c r="L158" s="4">
        <v>50443</v>
      </c>
      <c r="M158" s="4">
        <v>2600</v>
      </c>
      <c r="N158" s="13">
        <v>1</v>
      </c>
      <c r="O158" s="18">
        <f>K158/G158</f>
        <v>2.6172529313232832E-2</v>
      </c>
      <c r="P158" s="19">
        <f>K158/I158</f>
        <v>0.39267015706806285</v>
      </c>
      <c r="Q158" s="13"/>
    </row>
    <row r="159" spans="1:18" x14ac:dyDescent="0.15">
      <c r="A159" s="7">
        <v>158</v>
      </c>
      <c r="B159" s="7">
        <v>7344</v>
      </c>
      <c r="C159" s="8">
        <v>5</v>
      </c>
      <c r="D159" s="9" t="s">
        <v>1474</v>
      </c>
      <c r="E159" s="9" t="s">
        <v>315</v>
      </c>
      <c r="F159" s="10">
        <v>13147</v>
      </c>
      <c r="G159" s="10">
        <f>F159*1000000</f>
        <v>13147000000</v>
      </c>
      <c r="H159" s="10">
        <v>618</v>
      </c>
      <c r="I159" s="10">
        <f>H159*1000000</f>
        <v>618000000</v>
      </c>
      <c r="J159" s="9" t="s">
        <v>316</v>
      </c>
      <c r="K159" s="10">
        <v>158626443</v>
      </c>
      <c r="L159" s="8">
        <v>34820</v>
      </c>
      <c r="M159" s="8">
        <v>1190</v>
      </c>
      <c r="N159" s="7">
        <v>0</v>
      </c>
      <c r="O159" s="14">
        <f>K159/G159</f>
        <v>1.2065599984787404E-2</v>
      </c>
      <c r="P159" s="15">
        <f>K159/I159</f>
        <v>0.25667709223300972</v>
      </c>
      <c r="Q159" s="7"/>
    </row>
    <row r="160" spans="1:18" x14ac:dyDescent="0.15">
      <c r="A160" s="13">
        <v>159</v>
      </c>
      <c r="B160" s="13">
        <v>7344</v>
      </c>
      <c r="C160" s="16">
        <v>20</v>
      </c>
      <c r="D160" s="17" t="s">
        <v>1489</v>
      </c>
      <c r="E160" s="17" t="s">
        <v>317</v>
      </c>
      <c r="F160" s="12">
        <v>10447</v>
      </c>
      <c r="G160" s="12">
        <f>F160*1000000</f>
        <v>10447000000</v>
      </c>
      <c r="H160" s="12">
        <v>1007</v>
      </c>
      <c r="I160" s="12">
        <f>H160*1000000</f>
        <v>1007000000</v>
      </c>
      <c r="J160" s="17" t="s">
        <v>318</v>
      </c>
      <c r="K160" s="12">
        <v>220000000</v>
      </c>
      <c r="L160" s="4">
        <v>19900</v>
      </c>
      <c r="M160" s="4">
        <v>1100</v>
      </c>
      <c r="N160" s="13">
        <v>1</v>
      </c>
      <c r="O160" s="18">
        <f>K160/G160</f>
        <v>2.1058677132191058E-2</v>
      </c>
      <c r="P160" s="19">
        <f>K160/I160</f>
        <v>0.21847070506454816</v>
      </c>
      <c r="Q160" s="13"/>
    </row>
    <row r="161" spans="1:18" x14ac:dyDescent="0.15">
      <c r="A161" s="13">
        <v>160</v>
      </c>
      <c r="B161" s="13">
        <v>7341</v>
      </c>
      <c r="C161" s="16">
        <v>2</v>
      </c>
      <c r="D161" s="17" t="s">
        <v>1471</v>
      </c>
      <c r="E161" s="17" t="s">
        <v>319</v>
      </c>
      <c r="F161" s="12">
        <v>3097</v>
      </c>
      <c r="G161" s="12">
        <f>F161*1000000</f>
        <v>3097000000</v>
      </c>
      <c r="H161" s="12">
        <v>488</v>
      </c>
      <c r="I161" s="12">
        <f>H161*1000000</f>
        <v>488000000</v>
      </c>
      <c r="J161" s="17" t="s">
        <v>320</v>
      </c>
      <c r="K161" s="12">
        <v>104000000</v>
      </c>
      <c r="L161" s="4">
        <v>18000</v>
      </c>
      <c r="M161" s="4">
        <v>650</v>
      </c>
      <c r="N161" s="13">
        <v>1</v>
      </c>
      <c r="O161" s="18">
        <f>K161/G161</f>
        <v>3.3580884727155313E-2</v>
      </c>
      <c r="P161" s="19">
        <f>K161/I161</f>
        <v>0.21311475409836064</v>
      </c>
      <c r="Q161" s="13"/>
    </row>
    <row r="162" spans="1:18" x14ac:dyDescent="0.15">
      <c r="A162" s="13">
        <v>161</v>
      </c>
      <c r="B162" s="13">
        <v>7321</v>
      </c>
      <c r="C162" s="16">
        <v>14</v>
      </c>
      <c r="D162" s="17" t="s">
        <v>1483</v>
      </c>
      <c r="E162" s="17" t="s">
        <v>321</v>
      </c>
      <c r="F162" s="12">
        <v>3233</v>
      </c>
      <c r="G162" s="12">
        <f>F162*1000000</f>
        <v>3233000000</v>
      </c>
      <c r="H162" s="12">
        <v>12</v>
      </c>
      <c r="I162" s="12">
        <f>H162*1000000</f>
        <v>12000000</v>
      </c>
      <c r="J162" s="17" t="s">
        <v>322</v>
      </c>
      <c r="K162" s="12">
        <v>13400000</v>
      </c>
      <c r="L162" s="4">
        <v>17448</v>
      </c>
      <c r="M162" s="4">
        <v>65</v>
      </c>
      <c r="N162" s="13">
        <v>1</v>
      </c>
      <c r="O162" s="18">
        <f>K162/G162</f>
        <v>4.144757191463037E-3</v>
      </c>
      <c r="P162" s="19">
        <f>K162/I162</f>
        <v>1.1166666666666667</v>
      </c>
      <c r="Q162" s="13"/>
      <c r="R162" s="13"/>
    </row>
    <row r="163" spans="1:18" x14ac:dyDescent="0.15">
      <c r="A163" s="13">
        <v>162</v>
      </c>
      <c r="B163" s="13">
        <v>7310</v>
      </c>
      <c r="C163" s="16">
        <v>11</v>
      </c>
      <c r="D163" s="17" t="s">
        <v>1480</v>
      </c>
      <c r="E163" s="17" t="s">
        <v>323</v>
      </c>
      <c r="F163" s="12">
        <v>22442</v>
      </c>
      <c r="G163" s="12">
        <f>F163*1000000</f>
        <v>22442000000</v>
      </c>
      <c r="H163" s="12">
        <v>2176</v>
      </c>
      <c r="I163" s="12">
        <f>H163*1000000</f>
        <v>2176000000</v>
      </c>
      <c r="J163" s="17" t="s">
        <v>324</v>
      </c>
      <c r="K163" s="12">
        <v>58000000</v>
      </c>
      <c r="L163" s="4">
        <v>35000</v>
      </c>
      <c r="M163" s="4">
        <v>1500</v>
      </c>
      <c r="N163" s="13">
        <v>1</v>
      </c>
      <c r="O163" s="18">
        <f>K163/G163</f>
        <v>2.5844398894929151E-3</v>
      </c>
      <c r="P163" s="19">
        <f>K163/I163</f>
        <v>2.6654411764705881E-2</v>
      </c>
      <c r="Q163" s="13"/>
    </row>
    <row r="164" spans="1:18" x14ac:dyDescent="0.15">
      <c r="A164" s="22">
        <v>163</v>
      </c>
      <c r="B164" s="22">
        <v>7290</v>
      </c>
      <c r="C164" s="23">
        <v>6</v>
      </c>
      <c r="D164" s="24" t="s">
        <v>1475</v>
      </c>
      <c r="E164" s="24" t="s">
        <v>325</v>
      </c>
      <c r="F164" s="25">
        <v>1333</v>
      </c>
      <c r="G164" s="25">
        <f>F164*1000000</f>
        <v>1333000000</v>
      </c>
      <c r="H164" s="25">
        <v>6</v>
      </c>
      <c r="I164" s="25">
        <f>H164*1000000</f>
        <v>6000000</v>
      </c>
      <c r="J164" s="24" t="s">
        <v>326</v>
      </c>
      <c r="K164" s="25">
        <v>35596849</v>
      </c>
      <c r="L164" s="23">
        <v>32000</v>
      </c>
      <c r="M164" s="23">
        <v>169</v>
      </c>
      <c r="N164" s="22">
        <v>0</v>
      </c>
      <c r="O164" s="26">
        <f>K164/G164</f>
        <v>2.6704312828207052E-2</v>
      </c>
      <c r="P164" s="27">
        <f>K164/I164</f>
        <v>5.9328081666666668</v>
      </c>
      <c r="Q164" s="22" t="b">
        <v>1</v>
      </c>
    </row>
    <row r="165" spans="1:18" x14ac:dyDescent="0.15">
      <c r="A165" s="13">
        <v>164</v>
      </c>
      <c r="B165" s="13">
        <v>7237</v>
      </c>
      <c r="C165" s="16">
        <v>2</v>
      </c>
      <c r="D165" s="17" t="s">
        <v>1471</v>
      </c>
      <c r="E165" s="17" t="s">
        <v>327</v>
      </c>
      <c r="F165" s="12">
        <v>3252</v>
      </c>
      <c r="G165" s="12">
        <f>F165*1000000</f>
        <v>3252000000</v>
      </c>
      <c r="H165" s="12">
        <v>523</v>
      </c>
      <c r="I165" s="12">
        <f>H165*1000000</f>
        <v>523000000</v>
      </c>
      <c r="J165" s="17" t="s">
        <v>328</v>
      </c>
      <c r="K165" s="12">
        <v>105000000</v>
      </c>
      <c r="L165" s="4">
        <v>20000</v>
      </c>
      <c r="M165" s="4">
        <v>600</v>
      </c>
      <c r="N165" s="13">
        <v>1</v>
      </c>
      <c r="O165" s="18">
        <f>K165/G165</f>
        <v>3.2287822878228782E-2</v>
      </c>
      <c r="P165" s="19">
        <f>K165/I165</f>
        <v>0.20076481835564053</v>
      </c>
      <c r="Q165" s="13"/>
    </row>
    <row r="166" spans="1:18" x14ac:dyDescent="0.15">
      <c r="A166" s="13">
        <v>165</v>
      </c>
      <c r="B166" s="13">
        <v>7198</v>
      </c>
      <c r="C166" s="16">
        <v>9</v>
      </c>
      <c r="D166" s="17" t="s">
        <v>1478</v>
      </c>
      <c r="E166" s="17" t="s">
        <v>329</v>
      </c>
      <c r="F166" s="12">
        <v>15753</v>
      </c>
      <c r="G166" s="12">
        <f>F166*1000000</f>
        <v>15753000000</v>
      </c>
      <c r="H166" s="12">
        <v>56</v>
      </c>
      <c r="I166" s="12">
        <f>H166*1000000</f>
        <v>56000000</v>
      </c>
      <c r="J166" s="17" t="s">
        <v>330</v>
      </c>
      <c r="K166" s="12">
        <v>71000000</v>
      </c>
      <c r="L166" s="4">
        <v>23300</v>
      </c>
      <c r="M166" s="4">
        <v>560</v>
      </c>
      <c r="N166" s="13">
        <v>1</v>
      </c>
      <c r="O166" s="18">
        <f>K166/G166</f>
        <v>4.5070780168856728E-3</v>
      </c>
      <c r="P166" s="19">
        <f>K166/I166</f>
        <v>1.2678571428571428</v>
      </c>
      <c r="Q166" s="13"/>
    </row>
    <row r="167" spans="1:18" x14ac:dyDescent="0.15">
      <c r="A167" s="13">
        <v>166</v>
      </c>
      <c r="B167" s="13">
        <v>7155</v>
      </c>
      <c r="C167" s="16">
        <v>7</v>
      </c>
      <c r="D167" s="17" t="s">
        <v>1476</v>
      </c>
      <c r="E167" s="17" t="s">
        <v>331</v>
      </c>
      <c r="F167" s="12">
        <v>10382</v>
      </c>
      <c r="G167" s="12">
        <f>F167*1000000</f>
        <v>10382000000</v>
      </c>
      <c r="H167" s="12">
        <v>197</v>
      </c>
      <c r="I167" s="12">
        <f>H167*1000000</f>
        <v>197000000</v>
      </c>
      <c r="J167" s="17" t="s">
        <v>332</v>
      </c>
      <c r="K167" s="12">
        <v>93000000</v>
      </c>
      <c r="L167" s="4">
        <v>31000</v>
      </c>
      <c r="M167" s="4">
        <v>500</v>
      </c>
      <c r="N167" s="13">
        <v>1</v>
      </c>
      <c r="O167" s="18">
        <f>K167/G167</f>
        <v>8.9578115969947986E-3</v>
      </c>
      <c r="P167" s="19">
        <f>K167/I167</f>
        <v>0.4720812182741117</v>
      </c>
      <c r="Q167" s="13"/>
    </row>
    <row r="168" spans="1:18" x14ac:dyDescent="0.15">
      <c r="A168" s="7">
        <v>167</v>
      </c>
      <c r="B168" s="7">
        <v>7086</v>
      </c>
      <c r="C168" s="8">
        <v>12</v>
      </c>
      <c r="D168" s="9" t="s">
        <v>1481</v>
      </c>
      <c r="E168" s="9" t="s">
        <v>333</v>
      </c>
      <c r="F168" s="10">
        <v>12288</v>
      </c>
      <c r="G168" s="10">
        <f>F168*1000000</f>
        <v>12288000000</v>
      </c>
      <c r="H168" s="10">
        <v>567</v>
      </c>
      <c r="I168" s="10">
        <f>H168*1000000</f>
        <v>567000000</v>
      </c>
      <c r="J168" s="9" t="s">
        <v>334</v>
      </c>
      <c r="K168" s="10">
        <v>52769587</v>
      </c>
      <c r="L168" s="8">
        <v>91754</v>
      </c>
      <c r="M168" s="8">
        <v>1319</v>
      </c>
      <c r="N168" s="7">
        <v>0</v>
      </c>
      <c r="O168" s="14">
        <f>K168/G168</f>
        <v>4.2943999837239582E-3</v>
      </c>
      <c r="P168" s="15">
        <f>K168/I168</f>
        <v>9.306805467372134E-2</v>
      </c>
      <c r="Q168" s="7"/>
      <c r="R168" s="13"/>
    </row>
    <row r="169" spans="1:18" x14ac:dyDescent="0.15">
      <c r="A169" s="13">
        <v>168</v>
      </c>
      <c r="B169" s="13">
        <v>7064</v>
      </c>
      <c r="C169" s="16">
        <v>7</v>
      </c>
      <c r="D169" s="17" t="s">
        <v>1476</v>
      </c>
      <c r="E169" s="17" t="s">
        <v>335</v>
      </c>
      <c r="F169" s="12">
        <v>10215</v>
      </c>
      <c r="G169" s="12">
        <f>F169*1000000</f>
        <v>10215000000</v>
      </c>
      <c r="H169" s="12">
        <v>233</v>
      </c>
      <c r="I169" s="12">
        <f>H169*1000000</f>
        <v>233000000</v>
      </c>
      <c r="J169" s="17" t="s">
        <v>336</v>
      </c>
      <c r="K169" s="12">
        <v>44400000</v>
      </c>
      <c r="L169" s="4">
        <v>16300</v>
      </c>
      <c r="M169" s="4">
        <v>390</v>
      </c>
      <c r="N169" s="13">
        <v>1</v>
      </c>
      <c r="O169" s="18">
        <f>K169/G169</f>
        <v>4.3465491923641705E-3</v>
      </c>
      <c r="P169" s="19">
        <f>K169/I169</f>
        <v>0.19055793991416309</v>
      </c>
      <c r="Q169" s="13"/>
    </row>
    <row r="170" spans="1:18" x14ac:dyDescent="0.15">
      <c r="A170" s="13">
        <v>169</v>
      </c>
      <c r="B170" s="13">
        <v>7036</v>
      </c>
      <c r="C170" s="16">
        <v>15</v>
      </c>
      <c r="D170" s="17" t="s">
        <v>1484</v>
      </c>
      <c r="E170" s="17" t="s">
        <v>337</v>
      </c>
      <c r="F170" s="12">
        <v>11984</v>
      </c>
      <c r="G170" s="12">
        <f>F170*1000000</f>
        <v>11984000000</v>
      </c>
      <c r="H170" s="12">
        <v>1842</v>
      </c>
      <c r="I170" s="12">
        <f>H170*1000000</f>
        <v>1842000000</v>
      </c>
      <c r="J170" s="17" t="s">
        <v>338</v>
      </c>
      <c r="K170" s="12">
        <v>360000000</v>
      </c>
      <c r="L170" s="4">
        <v>49500</v>
      </c>
      <c r="M170" s="4">
        <v>1452</v>
      </c>
      <c r="N170" s="13">
        <v>1</v>
      </c>
      <c r="O170" s="18">
        <f>K170/G170</f>
        <v>3.0040053404539385E-2</v>
      </c>
      <c r="P170" s="19">
        <f>K170/I170</f>
        <v>0.19543973941368079</v>
      </c>
      <c r="Q170" s="13"/>
    </row>
    <row r="171" spans="1:18" x14ac:dyDescent="0.15">
      <c r="A171" s="22">
        <v>170</v>
      </c>
      <c r="B171" s="22">
        <v>7017</v>
      </c>
      <c r="C171" s="23">
        <v>11</v>
      </c>
      <c r="D171" s="24" t="s">
        <v>1480</v>
      </c>
      <c r="E171" s="24" t="s">
        <v>339</v>
      </c>
      <c r="F171" s="25">
        <v>18465</v>
      </c>
      <c r="G171" s="25">
        <f>F171*1000000</f>
        <v>18465000000</v>
      </c>
      <c r="H171" s="25">
        <v>1326</v>
      </c>
      <c r="I171" s="25">
        <f>H171*1000000</f>
        <v>1326000000</v>
      </c>
      <c r="J171" s="24" t="s">
        <v>88</v>
      </c>
      <c r="K171" s="25">
        <v>345039414</v>
      </c>
      <c r="L171" s="23">
        <v>65000</v>
      </c>
      <c r="M171" s="23">
        <v>2878</v>
      </c>
      <c r="N171" s="22">
        <v>0</v>
      </c>
      <c r="O171" s="26">
        <f>K171/G171</f>
        <v>1.8686131275385865E-2</v>
      </c>
      <c r="P171" s="27">
        <f>K171/I171</f>
        <v>0.26021071945701357</v>
      </c>
      <c r="Q171" s="22" t="b">
        <v>1</v>
      </c>
    </row>
    <row r="172" spans="1:18" x14ac:dyDescent="0.15">
      <c r="A172" s="7">
        <v>171</v>
      </c>
      <c r="B172" s="7">
        <v>6997</v>
      </c>
      <c r="C172" s="8">
        <v>14</v>
      </c>
      <c r="D172" s="9" t="s">
        <v>1483</v>
      </c>
      <c r="E172" s="9" t="s">
        <v>340</v>
      </c>
      <c r="F172" s="10">
        <v>2755</v>
      </c>
      <c r="G172" s="10">
        <f>F172*1000000</f>
        <v>2755000000</v>
      </c>
      <c r="H172" s="10">
        <v>47</v>
      </c>
      <c r="I172" s="10">
        <f>H172*1000000</f>
        <v>47000000</v>
      </c>
      <c r="J172" s="9" t="s">
        <v>341</v>
      </c>
      <c r="K172" s="10">
        <v>633926</v>
      </c>
      <c r="L172" s="8">
        <v>14000</v>
      </c>
      <c r="M172" s="8" t="s">
        <v>63</v>
      </c>
      <c r="N172" s="7">
        <v>0</v>
      </c>
      <c r="O172" s="14">
        <f>K172/G172</f>
        <v>2.3010018148820327E-4</v>
      </c>
      <c r="P172" s="15">
        <f>K172/I172</f>
        <v>1.3487787234042554E-2</v>
      </c>
      <c r="Q172" s="7"/>
    </row>
    <row r="173" spans="1:18" x14ac:dyDescent="0.15">
      <c r="A173" s="22">
        <v>172</v>
      </c>
      <c r="B173" s="22">
        <v>6929</v>
      </c>
      <c r="C173" s="23">
        <v>12</v>
      </c>
      <c r="D173" s="24" t="s">
        <v>1481</v>
      </c>
      <c r="E173" s="24" t="s">
        <v>342</v>
      </c>
      <c r="F173" s="25">
        <v>3085</v>
      </c>
      <c r="G173" s="25">
        <f>F173*1000000</f>
        <v>3085000000</v>
      </c>
      <c r="H173" s="25">
        <v>202</v>
      </c>
      <c r="I173" s="25">
        <f>H173*1000000</f>
        <v>202000000</v>
      </c>
      <c r="J173" s="24" t="s">
        <v>88</v>
      </c>
      <c r="K173" s="25">
        <v>38949378</v>
      </c>
      <c r="L173" s="23">
        <v>22992</v>
      </c>
      <c r="M173" s="23">
        <v>265</v>
      </c>
      <c r="N173" s="22">
        <v>0</v>
      </c>
      <c r="O173" s="26">
        <f>K173/G173</f>
        <v>1.2625406158833063E-2</v>
      </c>
      <c r="P173" s="27">
        <f>K173/I173</f>
        <v>0.19281870297029702</v>
      </c>
      <c r="Q173" s="22" t="b">
        <v>1</v>
      </c>
    </row>
    <row r="174" spans="1:18" x14ac:dyDescent="0.15">
      <c r="A174" s="13">
        <v>173</v>
      </c>
      <c r="B174" s="13">
        <v>6818</v>
      </c>
      <c r="C174" s="16">
        <v>20</v>
      </c>
      <c r="D174" s="17" t="s">
        <v>1489</v>
      </c>
      <c r="E174" s="17" t="s">
        <v>343</v>
      </c>
      <c r="F174" s="12">
        <v>978</v>
      </c>
      <c r="G174" s="12">
        <f>F174*1000000</f>
        <v>978000000</v>
      </c>
      <c r="H174" s="12">
        <v>48</v>
      </c>
      <c r="I174" s="12">
        <f>H174*1000000</f>
        <v>48000000</v>
      </c>
      <c r="J174" s="17" t="s">
        <v>344</v>
      </c>
      <c r="K174" s="12">
        <v>181000000</v>
      </c>
      <c r="L174" s="4" t="s">
        <v>63</v>
      </c>
      <c r="M174" s="4">
        <v>450</v>
      </c>
      <c r="N174" s="13">
        <v>1</v>
      </c>
      <c r="O174" s="18">
        <f>K174/G174</f>
        <v>0.18507157464212678</v>
      </c>
      <c r="P174" s="19">
        <f>K174/I174</f>
        <v>3.7708333333333335</v>
      </c>
      <c r="Q174" s="13"/>
    </row>
    <row r="175" spans="1:18" x14ac:dyDescent="0.15">
      <c r="A175" s="22">
        <v>174</v>
      </c>
      <c r="B175" s="22">
        <v>6788</v>
      </c>
      <c r="C175" s="23">
        <v>9</v>
      </c>
      <c r="D175" s="24" t="s">
        <v>1478</v>
      </c>
      <c r="E175" s="24" t="s">
        <v>345</v>
      </c>
      <c r="F175" s="25">
        <v>2110</v>
      </c>
      <c r="G175" s="25">
        <f>F175*1000000</f>
        <v>2110000000</v>
      </c>
      <c r="H175" s="25">
        <v>68</v>
      </c>
      <c r="I175" s="25">
        <f>H175*1000000</f>
        <v>68000000</v>
      </c>
      <c r="J175" s="24" t="s">
        <v>346</v>
      </c>
      <c r="K175" s="25">
        <v>25079499</v>
      </c>
      <c r="L175" s="23">
        <v>41800</v>
      </c>
      <c r="M175" s="23">
        <v>200</v>
      </c>
      <c r="N175" s="22">
        <v>0</v>
      </c>
      <c r="O175" s="26">
        <f>K175/G175</f>
        <v>1.1886018483412322E-2</v>
      </c>
      <c r="P175" s="27">
        <f>K175/I175</f>
        <v>0.36881616176470589</v>
      </c>
      <c r="Q175" s="22" t="b">
        <v>1</v>
      </c>
    </row>
    <row r="176" spans="1:18" x14ac:dyDescent="0.15">
      <c r="A176" s="13">
        <v>175</v>
      </c>
      <c r="B176" s="13">
        <v>6771</v>
      </c>
      <c r="C176" s="16">
        <v>17</v>
      </c>
      <c r="D176" s="17" t="s">
        <v>1486</v>
      </c>
      <c r="E176" s="17" t="s">
        <v>347</v>
      </c>
      <c r="F176" s="12">
        <v>7554</v>
      </c>
      <c r="G176" s="12">
        <f>F176*1000000</f>
        <v>7554000000</v>
      </c>
      <c r="H176" s="13" t="s">
        <v>63</v>
      </c>
      <c r="I176" s="12" t="e">
        <f>H176*1000000</f>
        <v>#VALUE!</v>
      </c>
      <c r="J176" s="17" t="s">
        <v>348</v>
      </c>
      <c r="K176" s="12">
        <v>41000000</v>
      </c>
      <c r="L176" s="4">
        <v>82000</v>
      </c>
      <c r="M176" s="4">
        <v>249</v>
      </c>
      <c r="N176" s="13">
        <v>1</v>
      </c>
      <c r="O176" s="18">
        <f>K176/G176</f>
        <v>5.4275880328302885E-3</v>
      </c>
      <c r="P176" s="19" t="e">
        <f>K176/I176</f>
        <v>#VALUE!</v>
      </c>
      <c r="Q176" s="21" t="s">
        <v>1496</v>
      </c>
    </row>
    <row r="177" spans="1:18" x14ac:dyDescent="0.15">
      <c r="A177" s="22">
        <v>176</v>
      </c>
      <c r="B177" s="22">
        <v>6757</v>
      </c>
      <c r="C177" s="23">
        <v>12</v>
      </c>
      <c r="D177" s="24" t="s">
        <v>1481</v>
      </c>
      <c r="E177" s="24" t="s">
        <v>349</v>
      </c>
      <c r="F177" s="25">
        <v>3567</v>
      </c>
      <c r="G177" s="25">
        <f>F177*1000000</f>
        <v>3567000000</v>
      </c>
      <c r="H177" s="25">
        <v>78</v>
      </c>
      <c r="I177" s="25">
        <f>H177*1000000</f>
        <v>78000000</v>
      </c>
      <c r="J177" s="24" t="s">
        <v>350</v>
      </c>
      <c r="K177" s="25">
        <v>45034824</v>
      </c>
      <c r="L177" s="23">
        <v>28900</v>
      </c>
      <c r="M177" s="23">
        <v>307</v>
      </c>
      <c r="N177" s="22">
        <v>0</v>
      </c>
      <c r="O177" s="26">
        <f>K177/G177</f>
        <v>1.262540622371741E-2</v>
      </c>
      <c r="P177" s="27">
        <f>K177/I177</f>
        <v>0.57736953846153849</v>
      </c>
      <c r="Q177" s="22" t="b">
        <v>1</v>
      </c>
    </row>
    <row r="178" spans="1:18" x14ac:dyDescent="0.15">
      <c r="A178" s="7">
        <v>177</v>
      </c>
      <c r="B178" s="7">
        <v>6652</v>
      </c>
      <c r="C178" s="8">
        <v>11</v>
      </c>
      <c r="D178" s="9" t="s">
        <v>1480</v>
      </c>
      <c r="E178" s="9" t="s">
        <v>351</v>
      </c>
      <c r="F178" s="10">
        <v>4157</v>
      </c>
      <c r="G178" s="10">
        <f>F178*1000000</f>
        <v>4157000000</v>
      </c>
      <c r="H178" s="10">
        <v>360</v>
      </c>
      <c r="I178" s="10">
        <f>H178*1000000</f>
        <v>360000000</v>
      </c>
      <c r="J178" s="9" t="s">
        <v>352</v>
      </c>
      <c r="K178" s="10">
        <v>102708662</v>
      </c>
      <c r="L178" s="8">
        <v>27000</v>
      </c>
      <c r="M178" s="8">
        <v>854</v>
      </c>
      <c r="N178" s="7">
        <v>0</v>
      </c>
      <c r="O178" s="14">
        <f>K178/G178</f>
        <v>2.470740004811162E-2</v>
      </c>
      <c r="P178" s="15">
        <f>K178/I178</f>
        <v>0.28530183888888888</v>
      </c>
      <c r="Q178" s="7"/>
    </row>
    <row r="179" spans="1:18" x14ac:dyDescent="0.15">
      <c r="A179" s="28">
        <v>178</v>
      </c>
      <c r="B179" s="28">
        <v>6577</v>
      </c>
      <c r="C179" s="29">
        <v>11</v>
      </c>
      <c r="D179" s="30" t="s">
        <v>1480</v>
      </c>
      <c r="E179" s="30" t="s">
        <v>353</v>
      </c>
      <c r="F179" s="31">
        <v>962</v>
      </c>
      <c r="G179" s="31">
        <f>F179*1000000</f>
        <v>962000000</v>
      </c>
      <c r="H179" s="28" t="s">
        <v>63</v>
      </c>
      <c r="I179" s="31" t="e">
        <f>H179*1000000</f>
        <v>#VALUE!</v>
      </c>
      <c r="J179" s="30" t="s">
        <v>354</v>
      </c>
      <c r="K179" s="28" t="e">
        <v>#N/A</v>
      </c>
      <c r="L179" s="29">
        <v>9200</v>
      </c>
      <c r="M179" s="29">
        <v>150</v>
      </c>
      <c r="N179" s="28">
        <v>1</v>
      </c>
      <c r="O179" s="32" t="e">
        <f>K179/G179</f>
        <v>#N/A</v>
      </c>
      <c r="P179" s="33" t="e">
        <f>K179/I179</f>
        <v>#N/A</v>
      </c>
      <c r="Q179" s="28"/>
      <c r="R179" s="28" t="b">
        <v>1</v>
      </c>
    </row>
    <row r="180" spans="1:18" x14ac:dyDescent="0.15">
      <c r="A180" s="13">
        <v>179</v>
      </c>
      <c r="B180" s="13">
        <v>6515</v>
      </c>
      <c r="C180" s="16">
        <v>18</v>
      </c>
      <c r="D180" s="17" t="s">
        <v>1487</v>
      </c>
      <c r="E180" s="17" t="s">
        <v>355</v>
      </c>
      <c r="F180" s="12">
        <v>10953</v>
      </c>
      <c r="G180" s="12">
        <f>F180*1000000</f>
        <v>10953000000</v>
      </c>
      <c r="H180" s="12">
        <v>1426</v>
      </c>
      <c r="I180" s="12">
        <f>H180*1000000</f>
        <v>1426000000</v>
      </c>
      <c r="J180" s="17" t="s">
        <v>356</v>
      </c>
      <c r="K180" s="12">
        <v>610000000</v>
      </c>
      <c r="L180" s="4">
        <v>60778</v>
      </c>
      <c r="M180" s="4">
        <v>4800</v>
      </c>
      <c r="N180" s="13">
        <v>1</v>
      </c>
      <c r="O180" s="18">
        <f>K180/G180</f>
        <v>5.5692504336711406E-2</v>
      </c>
      <c r="P180" s="19">
        <f>K180/I180</f>
        <v>0.42776998597475457</v>
      </c>
      <c r="Q180" s="13"/>
    </row>
    <row r="181" spans="1:18" x14ac:dyDescent="0.15">
      <c r="A181" s="13">
        <v>180</v>
      </c>
      <c r="B181" s="13">
        <v>6501</v>
      </c>
      <c r="C181" s="16">
        <v>12</v>
      </c>
      <c r="D181" s="17" t="s">
        <v>1481</v>
      </c>
      <c r="E181" s="17" t="s">
        <v>357</v>
      </c>
      <c r="F181" s="12">
        <v>2857</v>
      </c>
      <c r="G181" s="12">
        <f>F181*1000000</f>
        <v>2857000000</v>
      </c>
      <c r="H181" s="12">
        <v>109</v>
      </c>
      <c r="I181" s="12">
        <f>H181*1000000</f>
        <v>109000000</v>
      </c>
      <c r="J181" s="17" t="s">
        <v>358</v>
      </c>
      <c r="K181" s="12">
        <v>60000000</v>
      </c>
      <c r="L181" s="4">
        <v>15000</v>
      </c>
      <c r="M181" s="4">
        <v>400</v>
      </c>
      <c r="N181" s="13">
        <v>1</v>
      </c>
      <c r="O181" s="18">
        <f>K181/G181</f>
        <v>2.1001050052502624E-2</v>
      </c>
      <c r="P181" s="19">
        <f>K181/I181</f>
        <v>0.55045871559633031</v>
      </c>
      <c r="Q181" s="13"/>
    </row>
    <row r="182" spans="1:18" x14ac:dyDescent="0.15">
      <c r="A182" s="7">
        <v>181</v>
      </c>
      <c r="B182" s="7">
        <v>6426</v>
      </c>
      <c r="C182" s="8">
        <v>12</v>
      </c>
      <c r="D182" s="9" t="s">
        <v>1481</v>
      </c>
      <c r="E182" s="9" t="s">
        <v>359</v>
      </c>
      <c r="F182" s="10">
        <v>5310</v>
      </c>
      <c r="G182" s="10">
        <f>F182*1000000</f>
        <v>5310000000</v>
      </c>
      <c r="H182" s="10">
        <v>362</v>
      </c>
      <c r="I182" s="10">
        <f>H182*1000000</f>
        <v>362000000</v>
      </c>
      <c r="J182" s="9" t="s">
        <v>360</v>
      </c>
      <c r="K182" s="10">
        <v>90683118</v>
      </c>
      <c r="L182" s="8">
        <v>25926</v>
      </c>
      <c r="M182" s="8">
        <v>698</v>
      </c>
      <c r="N182" s="7">
        <v>0</v>
      </c>
      <c r="O182" s="14">
        <f>K182/G182</f>
        <v>1.7077800000000001E-2</v>
      </c>
      <c r="P182" s="15">
        <f>K182/I182</f>
        <v>0.25050585082872928</v>
      </c>
      <c r="Q182" s="7"/>
    </row>
    <row r="183" spans="1:18" x14ac:dyDescent="0.15">
      <c r="A183" s="13">
        <v>182</v>
      </c>
      <c r="B183" s="13">
        <v>6425</v>
      </c>
      <c r="C183" s="16">
        <v>9</v>
      </c>
      <c r="D183" s="17" t="s">
        <v>1478</v>
      </c>
      <c r="E183" s="17" t="s">
        <v>361</v>
      </c>
      <c r="F183" s="12">
        <v>16564</v>
      </c>
      <c r="G183" s="12">
        <f>F183*1000000</f>
        <v>16564000000</v>
      </c>
      <c r="H183" s="12">
        <v>162</v>
      </c>
      <c r="I183" s="12">
        <f>H183*1000000</f>
        <v>162000000</v>
      </c>
      <c r="J183" s="17" t="s">
        <v>362</v>
      </c>
      <c r="K183" s="12">
        <v>196880000</v>
      </c>
      <c r="L183" s="4">
        <v>42000</v>
      </c>
      <c r="M183" s="4">
        <v>1571</v>
      </c>
      <c r="N183" s="13">
        <v>1</v>
      </c>
      <c r="O183" s="18">
        <f>K183/G183</f>
        <v>1.1886017870079691E-2</v>
      </c>
      <c r="P183" s="19">
        <f>K183/I183</f>
        <v>1.2153086419753087</v>
      </c>
      <c r="Q183" s="20" t="s">
        <v>1496</v>
      </c>
    </row>
    <row r="184" spans="1:18" x14ac:dyDescent="0.15">
      <c r="A184" s="13">
        <v>183</v>
      </c>
      <c r="B184" s="13">
        <v>6420</v>
      </c>
      <c r="C184" s="16">
        <v>1</v>
      </c>
      <c r="D184" s="17" t="s">
        <v>1470</v>
      </c>
      <c r="E184" s="17" t="s">
        <v>363</v>
      </c>
      <c r="F184" s="12">
        <v>1740</v>
      </c>
      <c r="G184" s="12">
        <f>F184*1000000</f>
        <v>1740000000</v>
      </c>
      <c r="H184" s="12">
        <v>-13</v>
      </c>
      <c r="I184" s="12">
        <f>H184*1000000</f>
        <v>-13000000</v>
      </c>
      <c r="J184" s="17" t="s">
        <v>364</v>
      </c>
      <c r="K184" s="12">
        <v>21000000</v>
      </c>
      <c r="L184" s="4">
        <v>13000</v>
      </c>
      <c r="M184" s="4">
        <v>211</v>
      </c>
      <c r="N184" s="13">
        <v>1</v>
      </c>
      <c r="O184" s="18">
        <f>K184/G184</f>
        <v>1.2068965517241379E-2</v>
      </c>
      <c r="P184" s="19">
        <f>K184/I184</f>
        <v>-1.6153846153846154</v>
      </c>
      <c r="Q184" s="13"/>
    </row>
    <row r="185" spans="1:18" x14ac:dyDescent="0.15">
      <c r="A185" s="22">
        <v>184</v>
      </c>
      <c r="B185" s="22">
        <v>6386</v>
      </c>
      <c r="C185" s="23">
        <v>9</v>
      </c>
      <c r="D185" s="24" t="s">
        <v>1478</v>
      </c>
      <c r="E185" s="24" t="s">
        <v>365</v>
      </c>
      <c r="F185" s="25">
        <v>5955</v>
      </c>
      <c r="G185" s="25">
        <f>F185*1000000</f>
        <v>5955000000</v>
      </c>
      <c r="H185" s="25">
        <v>232</v>
      </c>
      <c r="I185" s="25">
        <f>H185*1000000</f>
        <v>232000000</v>
      </c>
      <c r="J185" s="24" t="s">
        <v>366</v>
      </c>
      <c r="K185" s="25">
        <v>70781240</v>
      </c>
      <c r="L185" s="23">
        <v>20200</v>
      </c>
      <c r="M185" s="23">
        <v>565</v>
      </c>
      <c r="N185" s="22">
        <v>0</v>
      </c>
      <c r="O185" s="26">
        <f>K185/G185</f>
        <v>1.1886018471872376E-2</v>
      </c>
      <c r="P185" s="27">
        <f>K185/I185</f>
        <v>0.30509155172413793</v>
      </c>
      <c r="Q185" s="22" t="b">
        <v>1</v>
      </c>
    </row>
    <row r="186" spans="1:18" x14ac:dyDescent="0.15">
      <c r="A186" s="22">
        <v>185</v>
      </c>
      <c r="B186" s="22">
        <v>6370</v>
      </c>
      <c r="C186" s="23">
        <v>5</v>
      </c>
      <c r="D186" s="24" t="s">
        <v>1474</v>
      </c>
      <c r="E186" s="24" t="s">
        <v>367</v>
      </c>
      <c r="F186" s="25">
        <v>1882</v>
      </c>
      <c r="G186" s="25">
        <f>F186*1000000</f>
        <v>1882000000</v>
      </c>
      <c r="H186" s="25">
        <v>83</v>
      </c>
      <c r="I186" s="25">
        <f>H186*1000000</f>
        <v>83000000</v>
      </c>
      <c r="J186" s="24" t="s">
        <v>368</v>
      </c>
      <c r="K186" s="25">
        <v>35314784</v>
      </c>
      <c r="L186" s="23">
        <v>22000</v>
      </c>
      <c r="M186" s="23">
        <v>159</v>
      </c>
      <c r="N186" s="22">
        <v>0</v>
      </c>
      <c r="O186" s="26">
        <f>K186/G186</f>
        <v>1.8764497343251859E-2</v>
      </c>
      <c r="P186" s="27">
        <f>K186/I186</f>
        <v>0.4254793253012048</v>
      </c>
      <c r="Q186" s="22" t="b">
        <v>1</v>
      </c>
    </row>
    <row r="187" spans="1:18" x14ac:dyDescent="0.15">
      <c r="A187" s="13">
        <v>186</v>
      </c>
      <c r="B187" s="13">
        <v>6314</v>
      </c>
      <c r="C187" s="16">
        <v>4</v>
      </c>
      <c r="D187" s="17" t="s">
        <v>1473</v>
      </c>
      <c r="E187" s="17" t="s">
        <v>369</v>
      </c>
      <c r="F187" s="12">
        <v>4690</v>
      </c>
      <c r="G187" s="12">
        <f>F187*1000000</f>
        <v>4690000000</v>
      </c>
      <c r="H187" s="12">
        <v>196</v>
      </c>
      <c r="I187" s="12">
        <f>H187*1000000</f>
        <v>196000000</v>
      </c>
      <c r="J187" s="17" t="s">
        <v>370</v>
      </c>
      <c r="K187" s="12">
        <v>183000000</v>
      </c>
      <c r="L187" s="4">
        <v>14500</v>
      </c>
      <c r="M187" s="4">
        <v>1100</v>
      </c>
      <c r="N187" s="13">
        <v>1</v>
      </c>
      <c r="O187" s="18">
        <f>K187/G187</f>
        <v>3.9019189765458422E-2</v>
      </c>
      <c r="P187" s="19">
        <f>K187/I187</f>
        <v>0.93367346938775508</v>
      </c>
      <c r="Q187" s="13"/>
    </row>
    <row r="188" spans="1:18" x14ac:dyDescent="0.15">
      <c r="A188" s="13">
        <v>187</v>
      </c>
      <c r="B188" s="13">
        <v>6285</v>
      </c>
      <c r="C188" s="16">
        <v>4</v>
      </c>
      <c r="D188" s="17" t="s">
        <v>1473</v>
      </c>
      <c r="E188" s="17" t="s">
        <v>371</v>
      </c>
      <c r="F188" s="12">
        <v>1318</v>
      </c>
      <c r="G188" s="12">
        <f>F188*1000000</f>
        <v>1318000000</v>
      </c>
      <c r="H188" s="12">
        <v>49</v>
      </c>
      <c r="I188" s="12">
        <f>H188*1000000</f>
        <v>49000000</v>
      </c>
      <c r="J188" s="17" t="s">
        <v>372</v>
      </c>
      <c r="K188" s="12">
        <v>33000000</v>
      </c>
      <c r="L188" s="4">
        <v>8468</v>
      </c>
      <c r="M188" s="4">
        <v>280</v>
      </c>
      <c r="N188" s="13">
        <v>1</v>
      </c>
      <c r="O188" s="18">
        <f>K188/G188</f>
        <v>2.503793626707132E-2</v>
      </c>
      <c r="P188" s="19">
        <f>K188/I188</f>
        <v>0.67346938775510201</v>
      </c>
      <c r="Q188" s="13"/>
    </row>
    <row r="189" spans="1:18" x14ac:dyDescent="0.15">
      <c r="A189" s="22">
        <v>188</v>
      </c>
      <c r="B189" s="22">
        <v>6282</v>
      </c>
      <c r="C189" s="23">
        <v>12</v>
      </c>
      <c r="D189" s="24" t="s">
        <v>1481</v>
      </c>
      <c r="E189" s="24" t="s">
        <v>373</v>
      </c>
      <c r="F189" s="25">
        <v>1528</v>
      </c>
      <c r="G189" s="25">
        <f>F189*1000000</f>
        <v>1528000000</v>
      </c>
      <c r="H189" s="25">
        <v>104</v>
      </c>
      <c r="I189" s="25">
        <f>H189*1000000</f>
        <v>104000000</v>
      </c>
      <c r="J189" s="24" t="s">
        <v>374</v>
      </c>
      <c r="K189" s="25">
        <v>19291621</v>
      </c>
      <c r="L189" s="23">
        <v>12900</v>
      </c>
      <c r="M189" s="23">
        <v>131</v>
      </c>
      <c r="N189" s="22">
        <v>0</v>
      </c>
      <c r="O189" s="26">
        <f>K189/G189</f>
        <v>1.2625406413612565E-2</v>
      </c>
      <c r="P189" s="27">
        <f>K189/I189</f>
        <v>0.18549635576923076</v>
      </c>
      <c r="Q189" s="22" t="b">
        <v>1</v>
      </c>
    </row>
    <row r="190" spans="1:18" x14ac:dyDescent="0.15">
      <c r="A190" s="13">
        <v>189</v>
      </c>
      <c r="B190" s="13">
        <v>6211</v>
      </c>
      <c r="C190" s="16">
        <v>20</v>
      </c>
      <c r="D190" s="17" t="s">
        <v>1489</v>
      </c>
      <c r="E190" s="17" t="s">
        <v>375</v>
      </c>
      <c r="F190" s="12">
        <v>3507</v>
      </c>
      <c r="G190" s="12">
        <f>F190*1000000</f>
        <v>3507000000</v>
      </c>
      <c r="H190" s="12">
        <v>468</v>
      </c>
      <c r="I190" s="12">
        <f>H190*1000000</f>
        <v>468000000</v>
      </c>
      <c r="J190" s="17" t="s">
        <v>376</v>
      </c>
      <c r="K190" s="12">
        <v>70000000</v>
      </c>
      <c r="L190" s="4">
        <v>13635</v>
      </c>
      <c r="M190" s="4">
        <v>700</v>
      </c>
      <c r="N190" s="13">
        <v>1</v>
      </c>
      <c r="O190" s="18">
        <f>K190/G190</f>
        <v>1.9960079840319361E-2</v>
      </c>
      <c r="P190" s="19">
        <f>K190/I190</f>
        <v>0.14957264957264957</v>
      </c>
      <c r="Q190" s="13"/>
    </row>
    <row r="191" spans="1:18" x14ac:dyDescent="0.15">
      <c r="A191" s="22">
        <v>190</v>
      </c>
      <c r="B191" s="22">
        <v>6195</v>
      </c>
      <c r="C191" s="23">
        <v>17</v>
      </c>
      <c r="D191" s="24" t="s">
        <v>1486</v>
      </c>
      <c r="E191" s="24" t="s">
        <v>377</v>
      </c>
      <c r="F191" s="25">
        <v>3548</v>
      </c>
      <c r="G191" s="25">
        <f>F191*1000000</f>
        <v>3548000000</v>
      </c>
      <c r="H191" s="25">
        <v>88</v>
      </c>
      <c r="I191" s="25">
        <f>H191*1000000</f>
        <v>88000000</v>
      </c>
      <c r="J191" s="24" t="s">
        <v>378</v>
      </c>
      <c r="K191" s="25">
        <v>19258635</v>
      </c>
      <c r="L191" s="23">
        <v>8000</v>
      </c>
      <c r="M191" s="23">
        <v>117</v>
      </c>
      <c r="N191" s="22">
        <v>0</v>
      </c>
      <c r="O191" s="26">
        <f>K191/G191</f>
        <v>5.4280256482525362E-3</v>
      </c>
      <c r="P191" s="27">
        <f>K191/I191</f>
        <v>0.218848125</v>
      </c>
      <c r="Q191" s="22" t="b">
        <v>1</v>
      </c>
    </row>
    <row r="192" spans="1:18" x14ac:dyDescent="0.15">
      <c r="A192" s="13">
        <v>191</v>
      </c>
      <c r="B192" s="13">
        <v>6193</v>
      </c>
      <c r="C192" s="16">
        <v>12</v>
      </c>
      <c r="D192" s="17" t="s">
        <v>1481</v>
      </c>
      <c r="E192" s="17" t="s">
        <v>379</v>
      </c>
      <c r="F192" s="12">
        <v>3351</v>
      </c>
      <c r="G192" s="12">
        <f>F192*1000000</f>
        <v>3351000000</v>
      </c>
      <c r="H192" s="12">
        <v>74</v>
      </c>
      <c r="I192" s="12">
        <f>H192*1000000</f>
        <v>74000000</v>
      </c>
      <c r="J192" s="17" t="s">
        <v>380</v>
      </c>
      <c r="K192" s="12">
        <v>74000000</v>
      </c>
      <c r="L192" s="4">
        <v>17000</v>
      </c>
      <c r="M192" s="4">
        <v>150</v>
      </c>
      <c r="N192" s="13">
        <v>1</v>
      </c>
      <c r="O192" s="18">
        <f>K192/G192</f>
        <v>2.2082960310355119E-2</v>
      </c>
      <c r="P192" s="19">
        <f>K192/I192</f>
        <v>1</v>
      </c>
      <c r="Q192" s="13"/>
    </row>
    <row r="193" spans="1:18" x14ac:dyDescent="0.15">
      <c r="A193" s="7">
        <v>192</v>
      </c>
      <c r="B193" s="7">
        <v>6183</v>
      </c>
      <c r="C193" s="8">
        <v>12</v>
      </c>
      <c r="D193" s="9" t="s">
        <v>1481</v>
      </c>
      <c r="E193" s="9" t="s">
        <v>381</v>
      </c>
      <c r="F193" s="10">
        <v>3263</v>
      </c>
      <c r="G193" s="10">
        <f>F193*1000000</f>
        <v>3263000000</v>
      </c>
      <c r="H193" s="10">
        <v>125</v>
      </c>
      <c r="I193" s="10">
        <f>H193*1000000</f>
        <v>125000000</v>
      </c>
      <c r="J193" s="9" t="s">
        <v>382</v>
      </c>
      <c r="K193" s="10">
        <v>24616398</v>
      </c>
      <c r="L193" s="8">
        <v>24000</v>
      </c>
      <c r="M193" s="8">
        <v>236</v>
      </c>
      <c r="N193" s="7">
        <v>0</v>
      </c>
      <c r="O193" s="14">
        <f>K193/G193</f>
        <v>7.5440999080600675E-3</v>
      </c>
      <c r="P193" s="15">
        <f>K193/I193</f>
        <v>0.19693118400000001</v>
      </c>
      <c r="Q193" s="7"/>
    </row>
    <row r="194" spans="1:18" x14ac:dyDescent="0.15">
      <c r="A194" s="22">
        <v>193</v>
      </c>
      <c r="B194" s="22">
        <v>6124</v>
      </c>
      <c r="C194" s="23">
        <v>11</v>
      </c>
      <c r="D194" s="24" t="s">
        <v>1480</v>
      </c>
      <c r="E194" s="24" t="s">
        <v>383</v>
      </c>
      <c r="F194" s="25">
        <v>3493</v>
      </c>
      <c r="G194" s="25">
        <f>F194*1000000</f>
        <v>3493000000</v>
      </c>
      <c r="H194" s="22" t="s">
        <v>63</v>
      </c>
      <c r="I194" s="25" t="e">
        <f>H194*1000000</f>
        <v>#VALUE!</v>
      </c>
      <c r="J194" s="24" t="s">
        <v>384</v>
      </c>
      <c r="K194" s="25">
        <v>65270657</v>
      </c>
      <c r="L194" s="23">
        <v>3400</v>
      </c>
      <c r="M194" s="23">
        <v>544</v>
      </c>
      <c r="N194" s="22">
        <v>0</v>
      </c>
      <c r="O194" s="26">
        <f>K194/G194</f>
        <v>1.868613140566848E-2</v>
      </c>
      <c r="P194" s="27" t="e">
        <f>K194/I194</f>
        <v>#VALUE!</v>
      </c>
      <c r="Q194" s="22" t="b">
        <v>1</v>
      </c>
    </row>
    <row r="195" spans="1:18" x14ac:dyDescent="0.15">
      <c r="A195" s="13">
        <v>194</v>
      </c>
      <c r="B195" s="13">
        <v>6040</v>
      </c>
      <c r="C195" s="16">
        <v>11</v>
      </c>
      <c r="D195" s="17" t="s">
        <v>1480</v>
      </c>
      <c r="E195" s="17" t="s">
        <v>385</v>
      </c>
      <c r="F195" s="12">
        <v>17525</v>
      </c>
      <c r="G195" s="12">
        <f>F195*1000000</f>
        <v>17525000000</v>
      </c>
      <c r="H195" s="13" t="s">
        <v>63</v>
      </c>
      <c r="I195" s="12" t="e">
        <f>H195*1000000</f>
        <v>#VALUE!</v>
      </c>
      <c r="J195" s="17" t="s">
        <v>386</v>
      </c>
      <c r="K195" s="12">
        <v>500000000</v>
      </c>
      <c r="L195" s="4">
        <v>41000</v>
      </c>
      <c r="M195" s="4">
        <v>4000</v>
      </c>
      <c r="N195" s="13">
        <v>1</v>
      </c>
      <c r="O195" s="18">
        <f>K195/G195</f>
        <v>2.8530670470756064E-2</v>
      </c>
      <c r="P195" s="19" t="e">
        <f>K195/I195</f>
        <v>#VALUE!</v>
      </c>
      <c r="Q195" s="13"/>
    </row>
    <row r="196" spans="1:18" x14ac:dyDescent="0.15">
      <c r="A196" s="22">
        <v>195</v>
      </c>
      <c r="B196" s="22">
        <v>6006</v>
      </c>
      <c r="C196" s="23">
        <v>12</v>
      </c>
      <c r="D196" s="24" t="s">
        <v>1481</v>
      </c>
      <c r="E196" s="24" t="s">
        <v>387</v>
      </c>
      <c r="F196" s="25">
        <v>2609</v>
      </c>
      <c r="G196" s="25">
        <f>F196*1000000</f>
        <v>2609000000</v>
      </c>
      <c r="H196" s="25">
        <v>131</v>
      </c>
      <c r="I196" s="25">
        <f>H196*1000000</f>
        <v>131000000</v>
      </c>
      <c r="J196" s="24" t="s">
        <v>388</v>
      </c>
      <c r="K196" s="25">
        <v>32939685</v>
      </c>
      <c r="L196" s="23">
        <v>20000</v>
      </c>
      <c r="M196" s="23">
        <v>224</v>
      </c>
      <c r="N196" s="22">
        <v>0</v>
      </c>
      <c r="O196" s="26">
        <f>K196/G196</f>
        <v>1.2625406285933307E-2</v>
      </c>
      <c r="P196" s="27">
        <f>K196/I196</f>
        <v>0.25144797709923666</v>
      </c>
      <c r="Q196" s="22" t="b">
        <v>1</v>
      </c>
      <c r="R196" s="13"/>
    </row>
    <row r="197" spans="1:18" x14ac:dyDescent="0.15">
      <c r="A197" s="13">
        <v>196</v>
      </c>
      <c r="B197" s="13">
        <v>5960</v>
      </c>
      <c r="C197" s="16">
        <v>15</v>
      </c>
      <c r="D197" s="17" t="s">
        <v>1484</v>
      </c>
      <c r="E197" s="17" t="s">
        <v>389</v>
      </c>
      <c r="F197" s="12">
        <v>5712</v>
      </c>
      <c r="G197" s="12">
        <f>F197*1000000</f>
        <v>5712000000</v>
      </c>
      <c r="H197" s="12">
        <v>1185</v>
      </c>
      <c r="I197" s="12">
        <f>H197*1000000</f>
        <v>1185000000</v>
      </c>
      <c r="J197" s="17" t="s">
        <v>390</v>
      </c>
      <c r="K197" s="12">
        <v>190000000</v>
      </c>
      <c r="L197" s="4">
        <v>25394</v>
      </c>
      <c r="M197" s="4">
        <v>9500</v>
      </c>
      <c r="N197" s="13">
        <v>1</v>
      </c>
      <c r="O197" s="18">
        <f>K197/G197</f>
        <v>3.3263305322128851E-2</v>
      </c>
      <c r="P197" s="19">
        <f>K197/I197</f>
        <v>0.16033755274261605</v>
      </c>
      <c r="Q197" s="13"/>
    </row>
    <row r="198" spans="1:18" x14ac:dyDescent="0.15">
      <c r="A198" s="22">
        <v>197</v>
      </c>
      <c r="B198" s="22">
        <v>5940</v>
      </c>
      <c r="C198" s="23">
        <v>9</v>
      </c>
      <c r="D198" s="24" t="s">
        <v>1478</v>
      </c>
      <c r="E198" s="24" t="s">
        <v>391</v>
      </c>
      <c r="F198" s="25">
        <v>6011</v>
      </c>
      <c r="G198" s="25">
        <f>F198*1000000</f>
        <v>6011000000</v>
      </c>
      <c r="H198" s="25">
        <v>69</v>
      </c>
      <c r="I198" s="25">
        <f>H198*1000000</f>
        <v>69000000</v>
      </c>
      <c r="J198" s="24" t="s">
        <v>392</v>
      </c>
      <c r="K198" s="25">
        <v>71446857</v>
      </c>
      <c r="L198" s="23">
        <v>26500</v>
      </c>
      <c r="M198" s="23">
        <v>570</v>
      </c>
      <c r="N198" s="22">
        <v>0</v>
      </c>
      <c r="O198" s="26">
        <f>K198/G198</f>
        <v>1.18860184661454E-2</v>
      </c>
      <c r="P198" s="27">
        <f>K198/I198</f>
        <v>1.0354616956521738</v>
      </c>
      <c r="Q198" s="22" t="b">
        <v>1</v>
      </c>
    </row>
    <row r="199" spans="1:18" x14ac:dyDescent="0.15">
      <c r="A199" s="22">
        <v>198</v>
      </c>
      <c r="B199" s="22">
        <v>5890</v>
      </c>
      <c r="C199" s="23">
        <v>13</v>
      </c>
      <c r="D199" s="24" t="s">
        <v>1482</v>
      </c>
      <c r="E199" s="24" t="s">
        <v>393</v>
      </c>
      <c r="F199" s="25">
        <v>1220</v>
      </c>
      <c r="G199" s="25">
        <f>F199*1000000</f>
        <v>1220000000</v>
      </c>
      <c r="H199" s="25">
        <v>123</v>
      </c>
      <c r="I199" s="25">
        <f>H199*1000000</f>
        <v>123000000</v>
      </c>
      <c r="J199" s="24" t="s">
        <v>88</v>
      </c>
      <c r="K199" s="25">
        <v>16803173</v>
      </c>
      <c r="L199" s="23">
        <v>7700</v>
      </c>
      <c r="M199" s="23">
        <v>95</v>
      </c>
      <c r="N199" s="22">
        <v>0</v>
      </c>
      <c r="O199" s="26">
        <f>K199/G199</f>
        <v>1.377309262295082E-2</v>
      </c>
      <c r="P199" s="27">
        <f>K199/I199</f>
        <v>0.13661116260162601</v>
      </c>
      <c r="Q199" s="22" t="b">
        <v>1</v>
      </c>
    </row>
    <row r="200" spans="1:18" x14ac:dyDescent="0.15">
      <c r="A200" s="13">
        <v>199</v>
      </c>
      <c r="B200" s="13">
        <v>5889</v>
      </c>
      <c r="C200" s="16">
        <v>2</v>
      </c>
      <c r="D200" s="17" t="s">
        <v>1471</v>
      </c>
      <c r="E200" s="17" t="s">
        <v>394</v>
      </c>
      <c r="F200" s="12">
        <v>11817</v>
      </c>
      <c r="G200" s="12">
        <f>F200*1000000</f>
        <v>11817000000</v>
      </c>
      <c r="H200" s="12">
        <v>1205</v>
      </c>
      <c r="I200" s="12">
        <f>H200*1000000</f>
        <v>1205000000</v>
      </c>
      <c r="J200" s="17" t="s">
        <v>395</v>
      </c>
      <c r="K200" s="12">
        <v>600000000</v>
      </c>
      <c r="L200" s="4">
        <v>33535</v>
      </c>
      <c r="M200" s="4">
        <v>2300</v>
      </c>
      <c r="N200" s="13">
        <v>1</v>
      </c>
      <c r="O200" s="18">
        <f>K200/G200</f>
        <v>5.0774308200050772E-2</v>
      </c>
      <c r="P200" s="19">
        <f>K200/I200</f>
        <v>0.49792531120331951</v>
      </c>
      <c r="Q200" s="13"/>
    </row>
    <row r="201" spans="1:18" x14ac:dyDescent="0.15">
      <c r="A201" s="22">
        <v>200</v>
      </c>
      <c r="B201" s="22">
        <v>5863</v>
      </c>
      <c r="C201" s="23">
        <v>12</v>
      </c>
      <c r="D201" s="24" t="s">
        <v>1481</v>
      </c>
      <c r="E201" s="24" t="s">
        <v>396</v>
      </c>
      <c r="F201" s="25">
        <v>1420</v>
      </c>
      <c r="G201" s="25">
        <f>F201*1000000</f>
        <v>1420000000</v>
      </c>
      <c r="H201" s="25">
        <v>25</v>
      </c>
      <c r="I201" s="25">
        <f>H201*1000000</f>
        <v>25000000</v>
      </c>
      <c r="J201" s="24" t="s">
        <v>397</v>
      </c>
      <c r="K201" s="25">
        <v>17928077</v>
      </c>
      <c r="L201" s="23">
        <v>10250</v>
      </c>
      <c r="M201" s="23">
        <v>122</v>
      </c>
      <c r="N201" s="22">
        <v>0</v>
      </c>
      <c r="O201" s="26">
        <f>K201/G201</f>
        <v>1.2625406338028168E-2</v>
      </c>
      <c r="P201" s="27">
        <f>K201/I201</f>
        <v>0.71712308000000002</v>
      </c>
      <c r="Q201" s="22" t="b">
        <v>1</v>
      </c>
    </row>
    <row r="202" spans="1:18" x14ac:dyDescent="0.15">
      <c r="A202" s="22">
        <v>201</v>
      </c>
      <c r="B202" s="22">
        <v>5852</v>
      </c>
      <c r="C202" s="23">
        <v>12</v>
      </c>
      <c r="D202" s="24" t="s">
        <v>1481</v>
      </c>
      <c r="E202" s="24" t="s">
        <v>398</v>
      </c>
      <c r="F202" s="25">
        <v>1603</v>
      </c>
      <c r="G202" s="25">
        <f>F202*1000000</f>
        <v>1603000000</v>
      </c>
      <c r="H202" s="25">
        <v>68</v>
      </c>
      <c r="I202" s="25">
        <f>H202*1000000</f>
        <v>68000000</v>
      </c>
      <c r="J202" s="24" t="s">
        <v>88</v>
      </c>
      <c r="K202" s="25">
        <v>20238526</v>
      </c>
      <c r="L202" s="23">
        <v>12500</v>
      </c>
      <c r="M202" s="23">
        <v>138</v>
      </c>
      <c r="N202" s="22">
        <v>0</v>
      </c>
      <c r="O202" s="26">
        <f>K202/G202</f>
        <v>1.2625406113537118E-2</v>
      </c>
      <c r="P202" s="27">
        <f>K202/I202</f>
        <v>0.29762538235294117</v>
      </c>
      <c r="Q202" s="22" t="b">
        <v>1</v>
      </c>
    </row>
    <row r="203" spans="1:18" x14ac:dyDescent="0.15">
      <c r="A203" s="13">
        <v>202</v>
      </c>
      <c r="B203" s="13">
        <v>5841</v>
      </c>
      <c r="C203" s="16">
        <v>12</v>
      </c>
      <c r="D203" s="17" t="s">
        <v>1481</v>
      </c>
      <c r="E203" s="17" t="s">
        <v>399</v>
      </c>
      <c r="F203" s="12">
        <v>3044</v>
      </c>
      <c r="G203" s="12">
        <f>F203*1000000</f>
        <v>3044000000</v>
      </c>
      <c r="H203" s="12">
        <v>9</v>
      </c>
      <c r="I203" s="12">
        <f>H203*1000000</f>
        <v>9000000</v>
      </c>
      <c r="J203" s="17" t="s">
        <v>400</v>
      </c>
      <c r="K203" s="12">
        <v>66000000</v>
      </c>
      <c r="L203" s="4">
        <v>20000</v>
      </c>
      <c r="M203" s="4">
        <v>550</v>
      </c>
      <c r="N203" s="13">
        <v>1</v>
      </c>
      <c r="O203" s="18">
        <f>K203/G203</f>
        <v>2.1681997371879105E-2</v>
      </c>
      <c r="P203" s="19">
        <f>K203/I203</f>
        <v>7.333333333333333</v>
      </c>
      <c r="Q203" s="13"/>
    </row>
    <row r="204" spans="1:18" x14ac:dyDescent="0.15">
      <c r="A204" s="13">
        <v>203</v>
      </c>
      <c r="B204" s="13">
        <v>5828</v>
      </c>
      <c r="C204" s="16">
        <v>12</v>
      </c>
      <c r="D204" s="17" t="s">
        <v>1481</v>
      </c>
      <c r="E204" s="17" t="s">
        <v>401</v>
      </c>
      <c r="F204" s="12">
        <v>2511</v>
      </c>
      <c r="G204" s="12">
        <f>F204*1000000</f>
        <v>2511000000</v>
      </c>
      <c r="H204" s="12">
        <v>125</v>
      </c>
      <c r="I204" s="12">
        <f>H204*1000000</f>
        <v>125000000</v>
      </c>
      <c r="J204" s="17" t="s">
        <v>402</v>
      </c>
      <c r="K204" s="12">
        <v>49000000</v>
      </c>
      <c r="L204" s="4">
        <v>20000</v>
      </c>
      <c r="M204" s="4">
        <v>280</v>
      </c>
      <c r="N204" s="13">
        <v>1</v>
      </c>
      <c r="O204" s="18">
        <f>K204/G204</f>
        <v>1.9514137793707687E-2</v>
      </c>
      <c r="P204" s="19">
        <f>K204/I204</f>
        <v>0.39200000000000002</v>
      </c>
      <c r="Q204" s="13"/>
    </row>
    <row r="205" spans="1:18" x14ac:dyDescent="0.15">
      <c r="A205" s="22">
        <v>204</v>
      </c>
      <c r="B205" s="22">
        <v>5811</v>
      </c>
      <c r="C205" s="23">
        <v>12</v>
      </c>
      <c r="D205" s="24" t="s">
        <v>1481</v>
      </c>
      <c r="E205" s="24" t="s">
        <v>403</v>
      </c>
      <c r="F205" s="25">
        <v>1133</v>
      </c>
      <c r="G205" s="25">
        <f>F205*1000000</f>
        <v>1133000000</v>
      </c>
      <c r="H205" s="25">
        <v>17</v>
      </c>
      <c r="I205" s="25">
        <f>H205*1000000</f>
        <v>17000000</v>
      </c>
      <c r="J205" s="24" t="s">
        <v>404</v>
      </c>
      <c r="K205" s="25">
        <v>14304585</v>
      </c>
      <c r="L205" s="23">
        <v>14300</v>
      </c>
      <c r="M205" s="23">
        <v>97</v>
      </c>
      <c r="N205" s="22">
        <v>0</v>
      </c>
      <c r="O205" s="26">
        <f>K205/G205</f>
        <v>1.2625406001765226E-2</v>
      </c>
      <c r="P205" s="27">
        <f>K205/I205</f>
        <v>0.84144617647058828</v>
      </c>
      <c r="Q205" s="22" t="b">
        <v>1</v>
      </c>
    </row>
    <row r="206" spans="1:18" x14ac:dyDescent="0.15">
      <c r="A206" s="22">
        <v>205</v>
      </c>
      <c r="B206" s="22">
        <v>5800</v>
      </c>
      <c r="C206" s="23">
        <v>9</v>
      </c>
      <c r="D206" s="24" t="s">
        <v>1478</v>
      </c>
      <c r="E206" s="24" t="s">
        <v>405</v>
      </c>
      <c r="F206" s="25">
        <v>5759</v>
      </c>
      <c r="G206" s="25">
        <f>F206*1000000</f>
        <v>5759000000</v>
      </c>
      <c r="H206" s="25">
        <v>231</v>
      </c>
      <c r="I206" s="25">
        <f>H206*1000000</f>
        <v>231000000</v>
      </c>
      <c r="J206" s="24" t="s">
        <v>406</v>
      </c>
      <c r="K206" s="25">
        <v>68451580</v>
      </c>
      <c r="L206" s="23">
        <v>31703</v>
      </c>
      <c r="M206" s="23">
        <v>546</v>
      </c>
      <c r="N206" s="22">
        <v>0</v>
      </c>
      <c r="O206" s="26">
        <f>K206/G206</f>
        <v>1.1886018405973258E-2</v>
      </c>
      <c r="P206" s="27">
        <f>K206/I206</f>
        <v>0.29632718614718617</v>
      </c>
      <c r="Q206" s="22" t="b">
        <v>1</v>
      </c>
      <c r="R206" s="13"/>
    </row>
    <row r="207" spans="1:18" x14ac:dyDescent="0.15">
      <c r="A207" s="22">
        <v>206</v>
      </c>
      <c r="B207" s="22">
        <v>5793</v>
      </c>
      <c r="C207" s="23">
        <v>12</v>
      </c>
      <c r="D207" s="24" t="s">
        <v>1481</v>
      </c>
      <c r="E207" s="24" t="s">
        <v>407</v>
      </c>
      <c r="F207" s="25">
        <v>1140</v>
      </c>
      <c r="G207" s="25">
        <f>F207*1000000</f>
        <v>1140000000</v>
      </c>
      <c r="H207" s="25">
        <v>19</v>
      </c>
      <c r="I207" s="25">
        <f>H207*1000000</f>
        <v>19000000</v>
      </c>
      <c r="J207" s="24" t="s">
        <v>88</v>
      </c>
      <c r="K207" s="25">
        <v>14392963</v>
      </c>
      <c r="L207" s="23">
        <v>13000</v>
      </c>
      <c r="M207" s="23">
        <v>98</v>
      </c>
      <c r="N207" s="22">
        <v>0</v>
      </c>
      <c r="O207" s="26">
        <f>K207/G207</f>
        <v>1.2625406140350877E-2</v>
      </c>
      <c r="P207" s="27">
        <f>K207/I207</f>
        <v>0.75752436842105264</v>
      </c>
      <c r="Q207" s="22" t="b">
        <v>1</v>
      </c>
    </row>
    <row r="208" spans="1:18" x14ac:dyDescent="0.15">
      <c r="A208" s="13">
        <v>207</v>
      </c>
      <c r="B208" s="13">
        <v>5790</v>
      </c>
      <c r="C208" s="16">
        <v>11</v>
      </c>
      <c r="D208" s="17" t="s">
        <v>1480</v>
      </c>
      <c r="E208" s="17" t="s">
        <v>408</v>
      </c>
      <c r="F208" s="12">
        <v>1324</v>
      </c>
      <c r="G208" s="12">
        <f>F208*1000000</f>
        <v>1324000000</v>
      </c>
      <c r="H208" s="12">
        <v>107</v>
      </c>
      <c r="I208" s="12">
        <f>H208*1000000</f>
        <v>107000000</v>
      </c>
      <c r="J208" s="17" t="s">
        <v>88</v>
      </c>
      <c r="K208" s="12">
        <v>1000000</v>
      </c>
      <c r="L208" s="4">
        <v>500</v>
      </c>
      <c r="M208" s="4">
        <v>8</v>
      </c>
      <c r="N208" s="13">
        <v>1</v>
      </c>
      <c r="O208" s="18">
        <f>K208/G208</f>
        <v>7.5528700906344411E-4</v>
      </c>
      <c r="P208" s="19">
        <f>K208/I208</f>
        <v>9.3457943925233638E-3</v>
      </c>
      <c r="Q208" s="13"/>
    </row>
    <row r="209" spans="1:18" x14ac:dyDescent="0.15">
      <c r="A209" s="22">
        <v>208</v>
      </c>
      <c r="B209" s="22">
        <v>5790</v>
      </c>
      <c r="C209" s="23">
        <v>4</v>
      </c>
      <c r="D209" s="24" t="s">
        <v>1473</v>
      </c>
      <c r="E209" s="24" t="s">
        <v>409</v>
      </c>
      <c r="F209" s="25">
        <v>1041</v>
      </c>
      <c r="G209" s="25">
        <f>F209*1000000</f>
        <v>1041000000</v>
      </c>
      <c r="H209" s="25">
        <v>-70</v>
      </c>
      <c r="I209" s="25">
        <f>H209*1000000</f>
        <v>-70000000</v>
      </c>
      <c r="J209" s="24" t="s">
        <v>410</v>
      </c>
      <c r="K209" s="25">
        <v>25288499</v>
      </c>
      <c r="L209" s="23">
        <v>9200</v>
      </c>
      <c r="M209" s="23">
        <v>122</v>
      </c>
      <c r="N209" s="22">
        <v>0</v>
      </c>
      <c r="O209" s="26">
        <f>K209/G209</f>
        <v>2.4292506243996159E-2</v>
      </c>
      <c r="P209" s="27">
        <f>K209/I209</f>
        <v>-0.36126427142857143</v>
      </c>
      <c r="Q209" s="22" t="b">
        <v>1</v>
      </c>
      <c r="R209" s="13"/>
    </row>
    <row r="210" spans="1:18" x14ac:dyDescent="0.15">
      <c r="A210" s="22">
        <v>209</v>
      </c>
      <c r="B210" s="22">
        <v>5754</v>
      </c>
      <c r="C210" s="23">
        <v>14</v>
      </c>
      <c r="D210" s="24" t="s">
        <v>1483</v>
      </c>
      <c r="E210" s="24" t="s">
        <v>411</v>
      </c>
      <c r="F210" s="25">
        <v>3581</v>
      </c>
      <c r="G210" s="25">
        <f>F210*1000000</f>
        <v>3581000000</v>
      </c>
      <c r="H210" s="25">
        <v>269</v>
      </c>
      <c r="I210" s="25">
        <f>H210*1000000</f>
        <v>269000000</v>
      </c>
      <c r="J210" s="24" t="s">
        <v>412</v>
      </c>
      <c r="K210" s="25">
        <v>29122543</v>
      </c>
      <c r="L210" s="23">
        <v>26900</v>
      </c>
      <c r="M210" s="23">
        <v>200</v>
      </c>
      <c r="N210" s="22">
        <v>0</v>
      </c>
      <c r="O210" s="26">
        <f>K210/G210</f>
        <v>8.1325168947221447E-3</v>
      </c>
      <c r="P210" s="27">
        <f>K210/I210</f>
        <v>0.10826224163568773</v>
      </c>
      <c r="Q210" s="22" t="b">
        <v>1</v>
      </c>
    </row>
    <row r="211" spans="1:18" x14ac:dyDescent="0.15">
      <c r="A211" s="22">
        <v>210</v>
      </c>
      <c r="B211" s="22">
        <v>5709</v>
      </c>
      <c r="C211" s="23">
        <v>2</v>
      </c>
      <c r="D211" s="24" t="s">
        <v>1471</v>
      </c>
      <c r="E211" s="24" t="s">
        <v>413</v>
      </c>
      <c r="F211" s="25">
        <v>6254</v>
      </c>
      <c r="G211" s="25">
        <f>F211*1000000</f>
        <v>6254000000</v>
      </c>
      <c r="H211" s="25">
        <v>925</v>
      </c>
      <c r="I211" s="25">
        <f>H211*1000000</f>
        <v>925000000</v>
      </c>
      <c r="J211" s="24" t="s">
        <v>414</v>
      </c>
      <c r="K211" s="25">
        <v>305688240</v>
      </c>
      <c r="L211" s="23">
        <v>32861</v>
      </c>
      <c r="M211" s="23">
        <v>1407</v>
      </c>
      <c r="N211" s="22">
        <v>0</v>
      </c>
      <c r="O211" s="26">
        <f>K211/G211</f>
        <v>4.8878835944995203E-2</v>
      </c>
      <c r="P211" s="27">
        <f>K211/I211</f>
        <v>0.33047377297297298</v>
      </c>
      <c r="Q211" s="22" t="b">
        <v>1</v>
      </c>
    </row>
    <row r="212" spans="1:18" x14ac:dyDescent="0.15">
      <c r="A212" s="13">
        <v>211</v>
      </c>
      <c r="B212" s="13">
        <v>5679</v>
      </c>
      <c r="C212" s="16">
        <v>9</v>
      </c>
      <c r="D212" s="17" t="s">
        <v>1478</v>
      </c>
      <c r="E212" s="17" t="s">
        <v>415</v>
      </c>
      <c r="F212" s="12">
        <v>5110</v>
      </c>
      <c r="G212" s="12">
        <f>F212*1000000</f>
        <v>5110000000</v>
      </c>
      <c r="H212" s="12">
        <v>-2</v>
      </c>
      <c r="I212" s="12">
        <f>H212*1000000</f>
        <v>-2000000</v>
      </c>
      <c r="J212" s="17" t="s">
        <v>416</v>
      </c>
      <c r="K212" s="12">
        <v>22000000</v>
      </c>
      <c r="L212" s="4">
        <v>55000</v>
      </c>
      <c r="M212" s="4">
        <v>190</v>
      </c>
      <c r="N212" s="13">
        <v>1</v>
      </c>
      <c r="O212" s="18">
        <f>K212/G212</f>
        <v>4.3052837573385521E-3</v>
      </c>
      <c r="P212" s="19">
        <f>K212/I212</f>
        <v>-11</v>
      </c>
      <c r="Q212" s="13"/>
    </row>
    <row r="213" spans="1:18" x14ac:dyDescent="0.15">
      <c r="A213" s="22">
        <v>212</v>
      </c>
      <c r="B213" s="22">
        <v>5675</v>
      </c>
      <c r="C213" s="23">
        <v>20</v>
      </c>
      <c r="D213" s="24" t="s">
        <v>1489</v>
      </c>
      <c r="E213" s="24" t="s">
        <v>417</v>
      </c>
      <c r="F213" s="25">
        <v>1827</v>
      </c>
      <c r="G213" s="25">
        <f>F213*1000000</f>
        <v>1827000000</v>
      </c>
      <c r="H213" s="25">
        <v>68</v>
      </c>
      <c r="I213" s="25">
        <f>H213*1000000</f>
        <v>68000000</v>
      </c>
      <c r="J213" s="24" t="s">
        <v>88</v>
      </c>
      <c r="K213" s="25">
        <v>40922420</v>
      </c>
      <c r="L213" s="23">
        <v>10237</v>
      </c>
      <c r="M213" s="23">
        <v>203</v>
      </c>
      <c r="N213" s="22">
        <v>0</v>
      </c>
      <c r="O213" s="26">
        <f>K213/G213</f>
        <v>2.2398697318007664E-2</v>
      </c>
      <c r="P213" s="27">
        <f>K213/I213</f>
        <v>0.60180029411764702</v>
      </c>
      <c r="Q213" s="22" t="b">
        <v>1</v>
      </c>
    </row>
    <row r="214" spans="1:18" x14ac:dyDescent="0.15">
      <c r="A214" s="13">
        <v>213</v>
      </c>
      <c r="B214" s="13">
        <v>5658</v>
      </c>
      <c r="C214" s="16">
        <v>17</v>
      </c>
      <c r="D214" s="17" t="s">
        <v>1486</v>
      </c>
      <c r="E214" s="17" t="s">
        <v>418</v>
      </c>
      <c r="F214" s="12">
        <v>13515</v>
      </c>
      <c r="G214" s="12">
        <f>F214*1000000</f>
        <v>13515000000</v>
      </c>
      <c r="H214" s="12">
        <v>268</v>
      </c>
      <c r="I214" s="12">
        <f>H214*1000000</f>
        <v>268000000</v>
      </c>
      <c r="J214" s="17" t="s">
        <v>419</v>
      </c>
      <c r="K214" s="12">
        <v>25000000</v>
      </c>
      <c r="L214" s="4">
        <v>30000</v>
      </c>
      <c r="M214" s="4">
        <v>200</v>
      </c>
      <c r="N214" s="13">
        <v>1</v>
      </c>
      <c r="O214" s="18">
        <f>K214/G214</f>
        <v>1.849796522382538E-3</v>
      </c>
      <c r="P214" s="19">
        <f>K214/I214</f>
        <v>9.3283582089552244E-2</v>
      </c>
      <c r="Q214" s="13"/>
    </row>
    <row r="215" spans="1:18" x14ac:dyDescent="0.15">
      <c r="A215" s="22">
        <v>214</v>
      </c>
      <c r="B215" s="22">
        <v>5634</v>
      </c>
      <c r="C215" s="23">
        <v>4</v>
      </c>
      <c r="D215" s="24" t="s">
        <v>1473</v>
      </c>
      <c r="E215" s="24" t="s">
        <v>420</v>
      </c>
      <c r="F215" s="25">
        <v>946</v>
      </c>
      <c r="G215" s="25">
        <f>F215*1000000</f>
        <v>946000000</v>
      </c>
      <c r="H215" s="25">
        <v>-58</v>
      </c>
      <c r="I215" s="25">
        <f>H215*1000000</f>
        <v>-58000000</v>
      </c>
      <c r="J215" s="24" t="s">
        <v>421</v>
      </c>
      <c r="K215" s="25">
        <v>22980711</v>
      </c>
      <c r="L215" s="23">
        <v>5900</v>
      </c>
      <c r="M215" s="23">
        <v>110</v>
      </c>
      <c r="N215" s="22">
        <v>0</v>
      </c>
      <c r="O215" s="26">
        <f>K215/G215</f>
        <v>2.4292506342494715E-2</v>
      </c>
      <c r="P215" s="27">
        <f>K215/I215</f>
        <v>-0.3962191551724138</v>
      </c>
      <c r="Q215" s="22" t="b">
        <v>1</v>
      </c>
    </row>
    <row r="216" spans="1:18" x14ac:dyDescent="0.15">
      <c r="A216" s="13">
        <v>215</v>
      </c>
      <c r="B216" s="13">
        <v>5626</v>
      </c>
      <c r="C216" s="16">
        <v>19</v>
      </c>
      <c r="D216" s="17" t="s">
        <v>1488</v>
      </c>
      <c r="E216" s="17" t="s">
        <v>422</v>
      </c>
      <c r="F216" s="12">
        <v>7798</v>
      </c>
      <c r="G216" s="12">
        <f>F216*1000000</f>
        <v>7798000000</v>
      </c>
      <c r="H216" s="12">
        <v>958</v>
      </c>
      <c r="I216" s="12">
        <f>H216*1000000</f>
        <v>958000000</v>
      </c>
      <c r="J216" s="17" t="s">
        <v>423</v>
      </c>
      <c r="K216" s="12">
        <v>200000000</v>
      </c>
      <c r="L216" s="4">
        <v>28000</v>
      </c>
      <c r="M216" s="4">
        <v>848</v>
      </c>
      <c r="N216" s="13">
        <v>1</v>
      </c>
      <c r="O216" s="18">
        <f>K216/G216</f>
        <v>2.5647601949217749E-2</v>
      </c>
      <c r="P216" s="19">
        <f>K216/I216</f>
        <v>0.20876826722338204</v>
      </c>
      <c r="Q216" s="13"/>
    </row>
    <row r="217" spans="1:18" x14ac:dyDescent="0.15">
      <c r="A217" s="22">
        <v>216</v>
      </c>
      <c r="B217" s="22">
        <v>5597</v>
      </c>
      <c r="C217" s="23">
        <v>14</v>
      </c>
      <c r="D217" s="24" t="s">
        <v>1483</v>
      </c>
      <c r="E217" s="24" t="s">
        <v>424</v>
      </c>
      <c r="F217" s="25">
        <v>6013</v>
      </c>
      <c r="G217" s="25">
        <f>F217*1000000</f>
        <v>6013000000</v>
      </c>
      <c r="H217" s="25">
        <v>122</v>
      </c>
      <c r="I217" s="25">
        <f>H217*1000000</f>
        <v>122000000</v>
      </c>
      <c r="J217" s="24" t="s">
        <v>425</v>
      </c>
      <c r="K217" s="25">
        <v>48900824</v>
      </c>
      <c r="L217" s="23">
        <v>29000</v>
      </c>
      <c r="M217" s="23">
        <v>600</v>
      </c>
      <c r="N217" s="22">
        <v>0</v>
      </c>
      <c r="O217" s="26">
        <f>K217/G217</f>
        <v>8.1325168800931314E-3</v>
      </c>
      <c r="P217" s="27">
        <f>K217/I217</f>
        <v>0.4008264262295082</v>
      </c>
      <c r="Q217" s="22" t="b">
        <v>1</v>
      </c>
    </row>
    <row r="218" spans="1:18" x14ac:dyDescent="0.15">
      <c r="A218" s="22">
        <v>217</v>
      </c>
      <c r="B218" s="22">
        <v>5582</v>
      </c>
      <c r="C218" s="23">
        <v>11</v>
      </c>
      <c r="D218" s="24" t="s">
        <v>1480</v>
      </c>
      <c r="E218" s="24" t="s">
        <v>426</v>
      </c>
      <c r="F218" s="25">
        <v>5101</v>
      </c>
      <c r="G218" s="25">
        <f>F218*1000000</f>
        <v>5101000000</v>
      </c>
      <c r="H218" s="22" t="s">
        <v>63</v>
      </c>
      <c r="I218" s="25" t="e">
        <f>H218*1000000</f>
        <v>#VALUE!</v>
      </c>
      <c r="J218" s="24" t="s">
        <v>427</v>
      </c>
      <c r="K218" s="25">
        <v>95317956</v>
      </c>
      <c r="L218" s="23">
        <v>9357</v>
      </c>
      <c r="M218" s="23">
        <v>795</v>
      </c>
      <c r="N218" s="22">
        <v>0</v>
      </c>
      <c r="O218" s="26">
        <f>K218/G218</f>
        <v>1.8686131346794747E-2</v>
      </c>
      <c r="P218" s="27" t="e">
        <f>K218/I218</f>
        <v>#VALUE!</v>
      </c>
      <c r="Q218" s="22" t="b">
        <v>1</v>
      </c>
    </row>
    <row r="219" spans="1:18" x14ac:dyDescent="0.15">
      <c r="A219" s="13">
        <v>218</v>
      </c>
      <c r="B219" s="13">
        <v>5571</v>
      </c>
      <c r="C219" s="16">
        <v>14</v>
      </c>
      <c r="D219" s="17" t="s">
        <v>1483</v>
      </c>
      <c r="E219" s="17" t="s">
        <v>428</v>
      </c>
      <c r="F219" s="12">
        <v>5318</v>
      </c>
      <c r="G219" s="12">
        <f>F219*1000000</f>
        <v>5318000000</v>
      </c>
      <c r="H219" s="12">
        <v>63</v>
      </c>
      <c r="I219" s="12">
        <f>H219*1000000</f>
        <v>63000000</v>
      </c>
      <c r="J219" s="17" t="s">
        <v>429</v>
      </c>
      <c r="K219" s="12">
        <v>30800000</v>
      </c>
      <c r="L219" s="4">
        <v>24600</v>
      </c>
      <c r="M219" s="4">
        <v>206</v>
      </c>
      <c r="N219" s="13">
        <v>1</v>
      </c>
      <c r="O219" s="18">
        <f>K219/G219</f>
        <v>5.7916509966152692E-3</v>
      </c>
      <c r="P219" s="19">
        <f>K219/I219</f>
        <v>0.48888888888888887</v>
      </c>
      <c r="Q219" s="13"/>
    </row>
    <row r="220" spans="1:18" x14ac:dyDescent="0.15">
      <c r="A220" s="13">
        <v>219</v>
      </c>
      <c r="B220" s="13">
        <v>5562</v>
      </c>
      <c r="C220" s="16">
        <v>2</v>
      </c>
      <c r="D220" s="17" t="s">
        <v>1471</v>
      </c>
      <c r="E220" s="17" t="s">
        <v>430</v>
      </c>
      <c r="F220" s="12">
        <v>3957</v>
      </c>
      <c r="G220" s="12">
        <f>F220*1000000</f>
        <v>3957000000</v>
      </c>
      <c r="H220" s="12">
        <v>433</v>
      </c>
      <c r="I220" s="12">
        <f>H220*1000000</f>
        <v>433000000</v>
      </c>
      <c r="J220" s="17" t="s">
        <v>431</v>
      </c>
      <c r="K220" s="12">
        <v>264000000</v>
      </c>
      <c r="L220" s="4">
        <v>24000</v>
      </c>
      <c r="M220" s="4">
        <v>1962</v>
      </c>
      <c r="N220" s="13">
        <v>1</v>
      </c>
      <c r="O220" s="18">
        <f>K220/G220</f>
        <v>6.6717210007581504E-2</v>
      </c>
      <c r="P220" s="19">
        <f>K220/I220</f>
        <v>0.60969976905311773</v>
      </c>
      <c r="Q220" s="13"/>
    </row>
    <row r="221" spans="1:18" x14ac:dyDescent="0.15">
      <c r="A221" s="22">
        <v>220</v>
      </c>
      <c r="B221" s="22">
        <v>5549</v>
      </c>
      <c r="C221" s="23">
        <v>2</v>
      </c>
      <c r="D221" s="24" t="s">
        <v>1471</v>
      </c>
      <c r="E221" s="24" t="s">
        <v>432</v>
      </c>
      <c r="F221" s="25">
        <v>1024</v>
      </c>
      <c r="G221" s="25">
        <f>F221*1000000</f>
        <v>1024000000</v>
      </c>
      <c r="H221" s="25">
        <v>355</v>
      </c>
      <c r="I221" s="25">
        <f>H221*1000000</f>
        <v>355000000</v>
      </c>
      <c r="J221" s="24" t="s">
        <v>433</v>
      </c>
      <c r="K221" s="25">
        <v>50051928</v>
      </c>
      <c r="L221" s="23">
        <v>14370</v>
      </c>
      <c r="M221" s="23">
        <v>230</v>
      </c>
      <c r="N221" s="22">
        <v>0</v>
      </c>
      <c r="O221" s="26">
        <f>K221/G221</f>
        <v>4.8878835937499997E-2</v>
      </c>
      <c r="P221" s="27">
        <f>K221/I221</f>
        <v>0.14099134647887324</v>
      </c>
      <c r="Q221" s="22" t="b">
        <v>1</v>
      </c>
    </row>
    <row r="222" spans="1:18" x14ac:dyDescent="0.15">
      <c r="A222" s="13">
        <v>221</v>
      </c>
      <c r="B222" s="13">
        <v>5521</v>
      </c>
      <c r="C222" s="16">
        <v>12</v>
      </c>
      <c r="D222" s="17" t="s">
        <v>1481</v>
      </c>
      <c r="E222" s="17" t="s">
        <v>434</v>
      </c>
      <c r="F222" s="12">
        <v>1795</v>
      </c>
      <c r="G222" s="12">
        <f>F222*1000000</f>
        <v>1795000000</v>
      </c>
      <c r="H222" s="12">
        <v>66</v>
      </c>
      <c r="I222" s="12">
        <f>H222*1000000</f>
        <v>66000000</v>
      </c>
      <c r="J222" s="17" t="s">
        <v>435</v>
      </c>
      <c r="K222" s="12">
        <v>42000000</v>
      </c>
      <c r="L222" s="4">
        <v>15000</v>
      </c>
      <c r="M222" s="4">
        <v>320</v>
      </c>
      <c r="N222" s="13">
        <v>1</v>
      </c>
      <c r="O222" s="18">
        <f>K222/G222</f>
        <v>2.3398328690807799E-2</v>
      </c>
      <c r="P222" s="19">
        <f>K222/I222</f>
        <v>0.63636363636363635</v>
      </c>
      <c r="Q222" s="13"/>
    </row>
    <row r="223" spans="1:18" x14ac:dyDescent="0.15">
      <c r="A223" s="22">
        <v>222</v>
      </c>
      <c r="B223" s="22">
        <v>5520</v>
      </c>
      <c r="C223" s="23">
        <v>16</v>
      </c>
      <c r="D223" s="24" t="s">
        <v>1485</v>
      </c>
      <c r="E223" s="24" t="s">
        <v>436</v>
      </c>
      <c r="F223" s="25">
        <v>635</v>
      </c>
      <c r="G223" s="25">
        <f>F223*1000000</f>
        <v>635000000</v>
      </c>
      <c r="H223" s="22" t="s">
        <v>63</v>
      </c>
      <c r="I223" s="25" t="e">
        <f>H223*1000000</f>
        <v>#VALUE!</v>
      </c>
      <c r="J223" s="24" t="s">
        <v>437</v>
      </c>
      <c r="K223" s="25">
        <v>14654002</v>
      </c>
      <c r="L223" s="23">
        <v>3845</v>
      </c>
      <c r="M223" s="23">
        <v>60</v>
      </c>
      <c r="N223" s="22">
        <v>0</v>
      </c>
      <c r="O223" s="26">
        <f>K223/G223</f>
        <v>2.3077168503937009E-2</v>
      </c>
      <c r="P223" s="27" t="e">
        <f>K223/I223</f>
        <v>#VALUE!</v>
      </c>
      <c r="Q223" s="22" t="b">
        <v>1</v>
      </c>
    </row>
    <row r="224" spans="1:18" x14ac:dyDescent="0.15">
      <c r="A224" s="7">
        <v>223</v>
      </c>
      <c r="B224" s="7">
        <v>5510</v>
      </c>
      <c r="C224" s="8">
        <v>4</v>
      </c>
      <c r="D224" s="9" t="s">
        <v>1473</v>
      </c>
      <c r="E224" s="9" t="s">
        <v>438</v>
      </c>
      <c r="F224" s="10">
        <v>1748</v>
      </c>
      <c r="G224" s="10">
        <f>F224*1000000</f>
        <v>1748000000</v>
      </c>
      <c r="H224" s="10">
        <v>141</v>
      </c>
      <c r="I224" s="10">
        <f>H224*1000000</f>
        <v>141000000</v>
      </c>
      <c r="J224" s="9" t="s">
        <v>439</v>
      </c>
      <c r="K224" s="10">
        <v>115284618</v>
      </c>
      <c r="L224" s="8">
        <v>17748</v>
      </c>
      <c r="M224" s="8">
        <v>369</v>
      </c>
      <c r="N224" s="7">
        <v>0</v>
      </c>
      <c r="O224" s="14">
        <f>K224/G224</f>
        <v>6.595229862700229E-2</v>
      </c>
      <c r="P224" s="15">
        <f>K224/I224</f>
        <v>0.81762140425531915</v>
      </c>
      <c r="Q224" s="7"/>
    </row>
    <row r="225" spans="1:18" x14ac:dyDescent="0.15">
      <c r="A225" s="28">
        <v>224</v>
      </c>
      <c r="B225" s="28">
        <v>5497</v>
      </c>
      <c r="C225" s="29">
        <v>8</v>
      </c>
      <c r="D225" s="30" t="s">
        <v>1477</v>
      </c>
      <c r="E225" s="30" t="s">
        <v>440</v>
      </c>
      <c r="F225" s="31">
        <v>3848</v>
      </c>
      <c r="G225" s="31">
        <f>F225*1000000</f>
        <v>3848000000</v>
      </c>
      <c r="H225" s="31">
        <v>495</v>
      </c>
      <c r="I225" s="31">
        <f>H225*1000000</f>
        <v>495000000</v>
      </c>
      <c r="J225" s="30" t="s">
        <v>441</v>
      </c>
      <c r="K225" s="28" t="e">
        <v>#N/A</v>
      </c>
      <c r="L225" s="29">
        <v>22000</v>
      </c>
      <c r="M225" s="29">
        <v>812</v>
      </c>
      <c r="N225" s="28">
        <v>1</v>
      </c>
      <c r="O225" s="32" t="e">
        <f>K225/G225</f>
        <v>#N/A</v>
      </c>
      <c r="P225" s="33" t="e">
        <f>K225/I225</f>
        <v>#N/A</v>
      </c>
      <c r="Q225" s="28"/>
      <c r="R225" s="28" t="b">
        <v>1</v>
      </c>
    </row>
    <row r="226" spans="1:18" x14ac:dyDescent="0.15">
      <c r="A226" s="22">
        <v>225</v>
      </c>
      <c r="B226" s="22">
        <v>5465</v>
      </c>
      <c r="C226" s="23">
        <v>14</v>
      </c>
      <c r="D226" s="24" t="s">
        <v>1483</v>
      </c>
      <c r="E226" s="24" t="s">
        <v>442</v>
      </c>
      <c r="F226" s="25">
        <v>2560</v>
      </c>
      <c r="G226" s="25">
        <f>F226*1000000</f>
        <v>2560000000</v>
      </c>
      <c r="H226" s="25">
        <v>65</v>
      </c>
      <c r="I226" s="25">
        <f>H226*1000000</f>
        <v>65000000</v>
      </c>
      <c r="J226" s="24" t="s">
        <v>443</v>
      </c>
      <c r="K226" s="25">
        <v>20819243</v>
      </c>
      <c r="L226" s="23">
        <v>16000</v>
      </c>
      <c r="M226" s="23">
        <v>143</v>
      </c>
      <c r="N226" s="22">
        <v>0</v>
      </c>
      <c r="O226" s="26">
        <f>K226/G226</f>
        <v>8.1325167968749994E-3</v>
      </c>
      <c r="P226" s="27">
        <f>K226/I226</f>
        <v>0.32029604615384616</v>
      </c>
      <c r="Q226" s="22" t="b">
        <v>1</v>
      </c>
    </row>
    <row r="227" spans="1:18" x14ac:dyDescent="0.15">
      <c r="A227" s="22">
        <v>226</v>
      </c>
      <c r="B227" s="22">
        <v>5445</v>
      </c>
      <c r="C227" s="23">
        <v>12</v>
      </c>
      <c r="D227" s="24" t="s">
        <v>1481</v>
      </c>
      <c r="E227" s="24" t="s">
        <v>444</v>
      </c>
      <c r="F227" s="25">
        <v>2069</v>
      </c>
      <c r="G227" s="25">
        <f>F227*1000000</f>
        <v>2069000000</v>
      </c>
      <c r="H227" s="25">
        <v>62</v>
      </c>
      <c r="I227" s="25">
        <f>H227*1000000</f>
        <v>62000000</v>
      </c>
      <c r="J227" s="24" t="s">
        <v>445</v>
      </c>
      <c r="K227" s="25">
        <v>26121965</v>
      </c>
      <c r="L227" s="23">
        <v>20300</v>
      </c>
      <c r="M227" s="23">
        <v>178</v>
      </c>
      <c r="N227" s="22">
        <v>0</v>
      </c>
      <c r="O227" s="26">
        <f>K227/G227</f>
        <v>1.2625405993233446E-2</v>
      </c>
      <c r="P227" s="27">
        <f>K227/I227</f>
        <v>0.42132201612903225</v>
      </c>
      <c r="Q227" s="22" t="b">
        <v>1</v>
      </c>
    </row>
    <row r="228" spans="1:18" x14ac:dyDescent="0.15">
      <c r="A228" s="22">
        <v>227</v>
      </c>
      <c r="B228" s="22">
        <v>5426</v>
      </c>
      <c r="C228" s="23">
        <v>5</v>
      </c>
      <c r="D228" s="24" t="s">
        <v>1474</v>
      </c>
      <c r="E228" s="24" t="s">
        <v>446</v>
      </c>
      <c r="F228" s="25">
        <v>4972</v>
      </c>
      <c r="G228" s="25">
        <f>F228*1000000</f>
        <v>4972000000</v>
      </c>
      <c r="H228" s="25">
        <v>275</v>
      </c>
      <c r="I228" s="25">
        <f>H228*1000000</f>
        <v>275000000</v>
      </c>
      <c r="J228" s="24" t="s">
        <v>447</v>
      </c>
      <c r="K228" s="25">
        <v>93297081</v>
      </c>
      <c r="L228" s="23">
        <v>60000</v>
      </c>
      <c r="M228" s="23">
        <v>600</v>
      </c>
      <c r="N228" s="22">
        <v>0</v>
      </c>
      <c r="O228" s="26">
        <f>K228/G228</f>
        <v>1.8764497385358004E-2</v>
      </c>
      <c r="P228" s="27">
        <f>K228/I228</f>
        <v>0.33926211272727275</v>
      </c>
      <c r="Q228" s="22" t="b">
        <v>1</v>
      </c>
    </row>
    <row r="229" spans="1:18" x14ac:dyDescent="0.15">
      <c r="A229" s="13">
        <v>228</v>
      </c>
      <c r="B229" s="13">
        <v>5422</v>
      </c>
      <c r="C229" s="16">
        <v>9</v>
      </c>
      <c r="D229" s="17" t="s">
        <v>1478</v>
      </c>
      <c r="E229" s="17" t="s">
        <v>448</v>
      </c>
      <c r="F229" s="12">
        <v>1501</v>
      </c>
      <c r="G229" s="12">
        <f>F229*1000000</f>
        <v>1501000000</v>
      </c>
      <c r="H229" s="12">
        <v>-25</v>
      </c>
      <c r="I229" s="12">
        <f>H229*1000000</f>
        <v>-25000000</v>
      </c>
      <c r="J229" s="17" t="s">
        <v>449</v>
      </c>
      <c r="K229" s="12">
        <v>113000000</v>
      </c>
      <c r="L229" s="4">
        <v>140969</v>
      </c>
      <c r="M229" s="4">
        <v>739</v>
      </c>
      <c r="N229" s="13">
        <v>1</v>
      </c>
      <c r="O229" s="18">
        <f>K229/G229</f>
        <v>7.5283144570286481E-2</v>
      </c>
      <c r="P229" s="19">
        <f>K229/I229</f>
        <v>-4.5199999999999996</v>
      </c>
      <c r="Q229" s="13"/>
    </row>
    <row r="230" spans="1:18" x14ac:dyDescent="0.15">
      <c r="A230" s="13">
        <v>229</v>
      </c>
      <c r="B230" s="13">
        <v>5414</v>
      </c>
      <c r="C230" s="16">
        <v>9</v>
      </c>
      <c r="D230" s="17" t="s">
        <v>1478</v>
      </c>
      <c r="E230" s="17" t="s">
        <v>450</v>
      </c>
      <c r="F230" s="12">
        <v>6691</v>
      </c>
      <c r="G230" s="12">
        <f>F230*1000000</f>
        <v>6691000000</v>
      </c>
      <c r="H230" s="12">
        <v>630</v>
      </c>
      <c r="I230" s="12">
        <f>H230*1000000</f>
        <v>630000000</v>
      </c>
      <c r="J230" s="17" t="s">
        <v>451</v>
      </c>
      <c r="K230" s="12">
        <v>75000000</v>
      </c>
      <c r="L230" s="4">
        <v>40000</v>
      </c>
      <c r="M230" s="4">
        <v>450</v>
      </c>
      <c r="N230" s="13">
        <v>1</v>
      </c>
      <c r="O230" s="18">
        <f>K230/G230</f>
        <v>1.1209086833059333E-2</v>
      </c>
      <c r="P230" s="19">
        <f>K230/I230</f>
        <v>0.11904761904761904</v>
      </c>
      <c r="Q230" s="13"/>
      <c r="R230" s="13"/>
    </row>
    <row r="231" spans="1:18" x14ac:dyDescent="0.15">
      <c r="A231" s="13">
        <v>230</v>
      </c>
      <c r="B231" s="13">
        <v>5410</v>
      </c>
      <c r="C231" s="16">
        <v>7</v>
      </c>
      <c r="D231" s="17" t="s">
        <v>1476</v>
      </c>
      <c r="E231" s="17" t="s">
        <v>452</v>
      </c>
      <c r="F231" s="12">
        <v>12211</v>
      </c>
      <c r="G231" s="12">
        <f>F231*1000000</f>
        <v>12211000000</v>
      </c>
      <c r="H231" s="12">
        <v>484</v>
      </c>
      <c r="I231" s="12">
        <f>H231*1000000</f>
        <v>484000000</v>
      </c>
      <c r="J231" s="17" t="s">
        <v>453</v>
      </c>
      <c r="K231" s="12">
        <v>100000000</v>
      </c>
      <c r="L231" s="4">
        <v>18000</v>
      </c>
      <c r="M231" s="4">
        <v>600</v>
      </c>
      <c r="N231" s="13">
        <v>1</v>
      </c>
      <c r="O231" s="18">
        <f>K231/G231</f>
        <v>8.1893374825976577E-3</v>
      </c>
      <c r="P231" s="19">
        <f>K231/I231</f>
        <v>0.20661157024793389</v>
      </c>
      <c r="Q231" s="13"/>
    </row>
    <row r="232" spans="1:18" x14ac:dyDescent="0.15">
      <c r="A232" s="7">
        <v>231</v>
      </c>
      <c r="B232" s="7">
        <v>5408</v>
      </c>
      <c r="C232" s="8">
        <v>3</v>
      </c>
      <c r="D232" s="9" t="s">
        <v>1472</v>
      </c>
      <c r="E232" s="9" t="s">
        <v>454</v>
      </c>
      <c r="F232" s="10">
        <v>2821</v>
      </c>
      <c r="G232" s="10">
        <f>F232*1000000</f>
        <v>2821000000</v>
      </c>
      <c r="H232" s="10">
        <v>274</v>
      </c>
      <c r="I232" s="10">
        <f>H232*1000000</f>
        <v>274000000</v>
      </c>
      <c r="J232" s="9" t="s">
        <v>455</v>
      </c>
      <c r="K232" s="10">
        <v>13225130</v>
      </c>
      <c r="L232" s="8">
        <v>11989</v>
      </c>
      <c r="M232" s="8">
        <v>368</v>
      </c>
      <c r="N232" s="7">
        <v>0</v>
      </c>
      <c r="O232" s="14">
        <f>K232/G232</f>
        <v>4.6880999645515778E-3</v>
      </c>
      <c r="P232" s="15">
        <f>K232/I232</f>
        <v>4.8266897810218978E-2</v>
      </c>
      <c r="Q232" s="7"/>
    </row>
    <row r="233" spans="1:18" x14ac:dyDescent="0.15">
      <c r="A233" s="13">
        <v>232</v>
      </c>
      <c r="B233" s="13">
        <v>5389</v>
      </c>
      <c r="C233" s="16">
        <v>5</v>
      </c>
      <c r="D233" s="17" t="s">
        <v>1474</v>
      </c>
      <c r="E233" s="17" t="s">
        <v>456</v>
      </c>
      <c r="F233" s="12">
        <v>30296</v>
      </c>
      <c r="G233" s="12">
        <f>F233*1000000</f>
        <v>30296000000</v>
      </c>
      <c r="H233" s="12">
        <v>2211</v>
      </c>
      <c r="I233" s="12">
        <f>H233*1000000</f>
        <v>2211000000</v>
      </c>
      <c r="J233" s="17" t="s">
        <v>457</v>
      </c>
      <c r="K233" s="12">
        <v>500000000</v>
      </c>
      <c r="L233" s="4">
        <v>96500</v>
      </c>
      <c r="M233" s="4">
        <v>2500</v>
      </c>
      <c r="N233" s="13">
        <v>1</v>
      </c>
      <c r="O233" s="18">
        <f>K233/G233</f>
        <v>1.6503828888302086E-2</v>
      </c>
      <c r="P233" s="19">
        <f>K233/I233</f>
        <v>0.2261420171867933</v>
      </c>
      <c r="Q233" s="13"/>
    </row>
    <row r="234" spans="1:18" x14ac:dyDescent="0.15">
      <c r="A234" s="22">
        <v>233</v>
      </c>
      <c r="B234" s="22">
        <v>5378</v>
      </c>
      <c r="C234" s="23">
        <v>14</v>
      </c>
      <c r="D234" s="24" t="s">
        <v>1483</v>
      </c>
      <c r="E234" s="24" t="s">
        <v>458</v>
      </c>
      <c r="F234" s="25">
        <v>2608</v>
      </c>
      <c r="G234" s="25">
        <f>F234*1000000</f>
        <v>2608000000</v>
      </c>
      <c r="H234" s="25">
        <v>104</v>
      </c>
      <c r="I234" s="25">
        <f>H234*1000000</f>
        <v>104000000</v>
      </c>
      <c r="J234" s="24" t="s">
        <v>459</v>
      </c>
      <c r="K234" s="25">
        <v>21209604</v>
      </c>
      <c r="L234" s="23">
        <v>14170</v>
      </c>
      <c r="M234" s="23">
        <v>146</v>
      </c>
      <c r="N234" s="22">
        <v>0</v>
      </c>
      <c r="O234" s="26">
        <f>K234/G234</f>
        <v>8.1325168711656442E-3</v>
      </c>
      <c r="P234" s="27">
        <f>K234/I234</f>
        <v>0.20393849999999999</v>
      </c>
      <c r="Q234" s="22" t="b">
        <v>1</v>
      </c>
    </row>
    <row r="235" spans="1:18" x14ac:dyDescent="0.15">
      <c r="A235" s="22">
        <v>234</v>
      </c>
      <c r="B235" s="22">
        <v>5317</v>
      </c>
      <c r="C235" s="23">
        <v>12</v>
      </c>
      <c r="D235" s="24" t="s">
        <v>1481</v>
      </c>
      <c r="E235" s="24" t="s">
        <v>460</v>
      </c>
      <c r="F235" s="25">
        <v>784</v>
      </c>
      <c r="G235" s="25">
        <f>F235*1000000</f>
        <v>784000000</v>
      </c>
      <c r="H235" s="25">
        <v>-84</v>
      </c>
      <c r="I235" s="25">
        <f>H235*1000000</f>
        <v>-84000000</v>
      </c>
      <c r="J235" s="24" t="s">
        <v>461</v>
      </c>
      <c r="K235" s="25">
        <v>9898318</v>
      </c>
      <c r="L235" s="23">
        <v>4100</v>
      </c>
      <c r="M235" s="23">
        <v>67</v>
      </c>
      <c r="N235" s="22">
        <v>0</v>
      </c>
      <c r="O235" s="26">
        <f>K235/G235</f>
        <v>1.2625405612244898E-2</v>
      </c>
      <c r="P235" s="27">
        <f>K235/I235</f>
        <v>-0.11783711904761905</v>
      </c>
      <c r="Q235" s="22" t="b">
        <v>1</v>
      </c>
    </row>
    <row r="236" spans="1:18" x14ac:dyDescent="0.15">
      <c r="A236" s="22">
        <v>235</v>
      </c>
      <c r="B236" s="22">
        <v>5294</v>
      </c>
      <c r="C236" s="23">
        <v>14</v>
      </c>
      <c r="D236" s="24" t="s">
        <v>1483</v>
      </c>
      <c r="E236" s="24" t="s">
        <v>462</v>
      </c>
      <c r="F236" s="25">
        <v>4140</v>
      </c>
      <c r="G236" s="25">
        <f>F236*1000000</f>
        <v>4140000000</v>
      </c>
      <c r="H236" s="25">
        <v>63</v>
      </c>
      <c r="I236" s="25">
        <f>H236*1000000</f>
        <v>63000000</v>
      </c>
      <c r="J236" s="24" t="s">
        <v>463</v>
      </c>
      <c r="K236" s="25">
        <v>33668620</v>
      </c>
      <c r="L236" s="23">
        <v>16618</v>
      </c>
      <c r="M236" s="23">
        <v>232</v>
      </c>
      <c r="N236" s="22">
        <v>0</v>
      </c>
      <c r="O236" s="26">
        <f>K236/G236</f>
        <v>8.1325169082125601E-3</v>
      </c>
      <c r="P236" s="27">
        <f>K236/I236</f>
        <v>0.53442253968253972</v>
      </c>
      <c r="Q236" s="22" t="b">
        <v>1</v>
      </c>
    </row>
    <row r="237" spans="1:18" x14ac:dyDescent="0.15">
      <c r="A237" s="22">
        <v>236</v>
      </c>
      <c r="B237" s="22">
        <v>5279</v>
      </c>
      <c r="C237" s="23">
        <v>2</v>
      </c>
      <c r="D237" s="24" t="s">
        <v>1471</v>
      </c>
      <c r="E237" s="24" t="s">
        <v>464</v>
      </c>
      <c r="F237" s="25">
        <v>2208</v>
      </c>
      <c r="G237" s="25">
        <f>F237*1000000</f>
        <v>2208000000</v>
      </c>
      <c r="H237" s="25">
        <v>160</v>
      </c>
      <c r="I237" s="25">
        <f>H237*1000000</f>
        <v>160000000</v>
      </c>
      <c r="J237" s="24" t="s">
        <v>465</v>
      </c>
      <c r="K237" s="25">
        <v>107924470</v>
      </c>
      <c r="L237" s="23">
        <v>11500</v>
      </c>
      <c r="M237" s="23">
        <v>497</v>
      </c>
      <c r="N237" s="22">
        <v>0</v>
      </c>
      <c r="O237" s="26">
        <f>K237/G237</f>
        <v>4.8878836050724635E-2</v>
      </c>
      <c r="P237" s="27">
        <f>K237/I237</f>
        <v>0.67452793749999995</v>
      </c>
      <c r="Q237" s="22" t="b">
        <v>1</v>
      </c>
    </row>
    <row r="238" spans="1:18" x14ac:dyDescent="0.15">
      <c r="A238" s="13">
        <v>237</v>
      </c>
      <c r="B238" s="13">
        <v>5275</v>
      </c>
      <c r="C238" s="16">
        <v>5</v>
      </c>
      <c r="D238" s="17" t="s">
        <v>1474</v>
      </c>
      <c r="E238" s="17" t="s">
        <v>466</v>
      </c>
      <c r="F238" s="12">
        <v>8104</v>
      </c>
      <c r="G238" s="12">
        <f>F238*1000000</f>
        <v>8104000000</v>
      </c>
      <c r="H238" s="12">
        <v>158</v>
      </c>
      <c r="I238" s="12">
        <f>H238*1000000</f>
        <v>158000000</v>
      </c>
      <c r="J238" s="17" t="s">
        <v>467</v>
      </c>
      <c r="K238" s="12">
        <v>130000000</v>
      </c>
      <c r="L238" s="4">
        <v>50000</v>
      </c>
      <c r="M238" s="4">
        <v>900</v>
      </c>
      <c r="N238" s="13">
        <v>1</v>
      </c>
      <c r="O238" s="18">
        <f>K238/G238</f>
        <v>1.6041461006910167E-2</v>
      </c>
      <c r="P238" s="19">
        <f>K238/I238</f>
        <v>0.82278481012658233</v>
      </c>
      <c r="Q238" s="13"/>
    </row>
    <row r="239" spans="1:18" x14ac:dyDescent="0.15">
      <c r="A239" s="22">
        <v>238</v>
      </c>
      <c r="B239" s="22">
        <v>5256</v>
      </c>
      <c r="C239" s="23">
        <v>1</v>
      </c>
      <c r="D239" s="24" t="s">
        <v>1470</v>
      </c>
      <c r="E239" s="24" t="s">
        <v>468</v>
      </c>
      <c r="F239" s="25">
        <v>1327</v>
      </c>
      <c r="G239" s="25">
        <f>F239*1000000</f>
        <v>1327000000</v>
      </c>
      <c r="H239" s="25">
        <v>94</v>
      </c>
      <c r="I239" s="25">
        <f>H239*1000000</f>
        <v>94000000</v>
      </c>
      <c r="J239" s="24" t="s">
        <v>469</v>
      </c>
      <c r="K239" s="25">
        <v>24166220</v>
      </c>
      <c r="L239" s="23">
        <v>10700</v>
      </c>
      <c r="M239" s="23">
        <v>182</v>
      </c>
      <c r="N239" s="22">
        <v>0</v>
      </c>
      <c r="O239" s="26">
        <f>K239/G239</f>
        <v>1.8211168048229087E-2</v>
      </c>
      <c r="P239" s="27">
        <f>K239/I239</f>
        <v>0.25708744680851064</v>
      </c>
      <c r="Q239" s="22" t="b">
        <v>1</v>
      </c>
    </row>
    <row r="240" spans="1:18" x14ac:dyDescent="0.15">
      <c r="A240" s="13">
        <v>239</v>
      </c>
      <c r="B240" s="13">
        <v>5253</v>
      </c>
      <c r="C240" s="16">
        <v>4</v>
      </c>
      <c r="D240" s="17" t="s">
        <v>1473</v>
      </c>
      <c r="E240" s="17" t="s">
        <v>470</v>
      </c>
      <c r="F240" s="12">
        <v>1121</v>
      </c>
      <c r="G240" s="12">
        <f>F240*1000000</f>
        <v>1121000000</v>
      </c>
      <c r="H240" s="12">
        <v>-42</v>
      </c>
      <c r="I240" s="12">
        <f>H240*1000000</f>
        <v>-42000000</v>
      </c>
      <c r="J240" s="17" t="s">
        <v>471</v>
      </c>
      <c r="K240" s="12">
        <v>40000000</v>
      </c>
      <c r="L240" s="4">
        <v>5800</v>
      </c>
      <c r="M240" s="4">
        <v>131</v>
      </c>
      <c r="N240" s="13">
        <v>1</v>
      </c>
      <c r="O240" s="18">
        <f>K240/G240</f>
        <v>3.568242640499554E-2</v>
      </c>
      <c r="P240" s="19">
        <f>K240/I240</f>
        <v>-0.95238095238095233</v>
      </c>
      <c r="Q240" s="13"/>
    </row>
    <row r="241" spans="1:18" x14ac:dyDescent="0.15">
      <c r="A241" s="7">
        <v>240</v>
      </c>
      <c r="B241" s="7">
        <v>5237</v>
      </c>
      <c r="C241" s="8">
        <v>13</v>
      </c>
      <c r="D241" s="9" t="s">
        <v>1482</v>
      </c>
      <c r="E241" s="9" t="s">
        <v>472</v>
      </c>
      <c r="F241" s="10">
        <v>2358</v>
      </c>
      <c r="G241" s="10">
        <f>F241*1000000</f>
        <v>2358000000</v>
      </c>
      <c r="H241" s="10">
        <v>213</v>
      </c>
      <c r="I241" s="10">
        <f>H241*1000000</f>
        <v>213000000</v>
      </c>
      <c r="J241" s="9" t="s">
        <v>473</v>
      </c>
      <c r="K241" s="10">
        <v>35019837</v>
      </c>
      <c r="L241" s="8">
        <v>12800</v>
      </c>
      <c r="M241" s="8">
        <v>117</v>
      </c>
      <c r="N241" s="7">
        <v>0</v>
      </c>
      <c r="O241" s="14">
        <f>K241/G241</f>
        <v>1.48515E-2</v>
      </c>
      <c r="P241" s="15">
        <f>K241/I241</f>
        <v>0.16441238028169014</v>
      </c>
      <c r="Q241" s="7"/>
    </row>
    <row r="242" spans="1:18" x14ac:dyDescent="0.15">
      <c r="A242" s="22">
        <v>241</v>
      </c>
      <c r="B242" s="22">
        <v>5222</v>
      </c>
      <c r="C242" s="23">
        <v>12</v>
      </c>
      <c r="D242" s="24" t="s">
        <v>1481</v>
      </c>
      <c r="E242" s="24" t="s">
        <v>474</v>
      </c>
      <c r="F242" s="25">
        <v>544</v>
      </c>
      <c r="G242" s="25">
        <f>F242*1000000</f>
        <v>544000000</v>
      </c>
      <c r="H242" s="25">
        <v>-32</v>
      </c>
      <c r="I242" s="25">
        <f>H242*1000000</f>
        <v>-32000000</v>
      </c>
      <c r="J242" s="24" t="s">
        <v>475</v>
      </c>
      <c r="K242" s="25">
        <v>6868221</v>
      </c>
      <c r="L242" s="23">
        <v>5300</v>
      </c>
      <c r="M242" s="23">
        <v>36</v>
      </c>
      <c r="N242" s="22">
        <v>0</v>
      </c>
      <c r="O242" s="26">
        <f>K242/G242</f>
        <v>1.262540625E-2</v>
      </c>
      <c r="P242" s="27">
        <f>K242/I242</f>
        <v>-0.21463190625</v>
      </c>
      <c r="Q242" s="22" t="b">
        <v>1</v>
      </c>
    </row>
    <row r="243" spans="1:18" x14ac:dyDescent="0.15">
      <c r="A243" s="13">
        <v>242</v>
      </c>
      <c r="B243" s="13">
        <v>5214</v>
      </c>
      <c r="C243" s="16">
        <v>2</v>
      </c>
      <c r="D243" s="17" t="s">
        <v>1471</v>
      </c>
      <c r="E243" s="17" t="s">
        <v>476</v>
      </c>
      <c r="F243" s="12">
        <v>2905</v>
      </c>
      <c r="G243" s="12">
        <f>F243*1000000</f>
        <v>2905000000</v>
      </c>
      <c r="H243" s="12">
        <v>429</v>
      </c>
      <c r="I243" s="12">
        <f>H243*1000000</f>
        <v>429000000</v>
      </c>
      <c r="J243" s="17" t="s">
        <v>477</v>
      </c>
      <c r="K243" s="12">
        <v>115400000</v>
      </c>
      <c r="L243" s="4">
        <v>20300</v>
      </c>
      <c r="M243" s="4">
        <v>750</v>
      </c>
      <c r="N243" s="13">
        <v>1</v>
      </c>
      <c r="O243" s="18">
        <f>K243/G243</f>
        <v>3.9724612736660926E-2</v>
      </c>
      <c r="P243" s="19">
        <f>K243/I243</f>
        <v>0.26899766899766897</v>
      </c>
      <c r="Q243" s="13"/>
    </row>
    <row r="244" spans="1:18" x14ac:dyDescent="0.15">
      <c r="A244" s="13">
        <v>243</v>
      </c>
      <c r="B244" s="13">
        <v>5180</v>
      </c>
      <c r="C244" s="16">
        <v>17</v>
      </c>
      <c r="D244" s="17" t="s">
        <v>1486</v>
      </c>
      <c r="E244" s="17" t="s">
        <v>478</v>
      </c>
      <c r="F244" s="12">
        <v>15627</v>
      </c>
      <c r="G244" s="12">
        <f>F244*1000000</f>
        <v>15627000000</v>
      </c>
      <c r="H244" s="12">
        <v>250</v>
      </c>
      <c r="I244" s="12">
        <f>H244*1000000</f>
        <v>250000000</v>
      </c>
      <c r="J244" s="17" t="s">
        <v>479</v>
      </c>
      <c r="K244" s="12">
        <v>95000000</v>
      </c>
      <c r="L244" s="4">
        <v>105900</v>
      </c>
      <c r="M244" s="4">
        <v>450</v>
      </c>
      <c r="N244" s="13">
        <v>1</v>
      </c>
      <c r="O244" s="18">
        <f>K244/G244</f>
        <v>6.0792218596019713E-3</v>
      </c>
      <c r="P244" s="19">
        <f>K244/I244</f>
        <v>0.38</v>
      </c>
      <c r="Q244" s="13"/>
    </row>
    <row r="245" spans="1:18" x14ac:dyDescent="0.15">
      <c r="A245" s="7">
        <v>244</v>
      </c>
      <c r="B245" s="7">
        <v>5151</v>
      </c>
      <c r="C245" s="8">
        <v>12</v>
      </c>
      <c r="D245" s="9" t="s">
        <v>1481</v>
      </c>
      <c r="E245" s="9" t="s">
        <v>480</v>
      </c>
      <c r="F245" s="10">
        <v>2290</v>
      </c>
      <c r="G245" s="10">
        <f>F245*1000000</f>
        <v>2290000000</v>
      </c>
      <c r="H245" s="10">
        <v>-92</v>
      </c>
      <c r="I245" s="10">
        <f>H245*1000000</f>
        <v>-92000000</v>
      </c>
      <c r="J245" s="9" t="s">
        <v>481</v>
      </c>
      <c r="K245" s="10">
        <v>11403500</v>
      </c>
      <c r="L245" s="8">
        <v>12000</v>
      </c>
      <c r="M245" s="8">
        <v>82</v>
      </c>
      <c r="N245" s="7">
        <v>0</v>
      </c>
      <c r="O245" s="14">
        <f>K245/G245</f>
        <v>4.979694323144105E-3</v>
      </c>
      <c r="P245" s="15">
        <f>K245/I245</f>
        <v>-0.12395108695652174</v>
      </c>
      <c r="Q245" s="7"/>
    </row>
    <row r="246" spans="1:18" x14ac:dyDescent="0.15">
      <c r="A246" s="13">
        <v>245</v>
      </c>
      <c r="B246" s="13">
        <v>5088</v>
      </c>
      <c r="C246" s="16">
        <v>20</v>
      </c>
      <c r="D246" s="17" t="s">
        <v>1489</v>
      </c>
      <c r="E246" s="17" t="s">
        <v>482</v>
      </c>
      <c r="F246" s="12">
        <v>5963</v>
      </c>
      <c r="G246" s="12">
        <f>F246*1000000</f>
        <v>5963000000</v>
      </c>
      <c r="H246" s="12">
        <v>375</v>
      </c>
      <c r="I246" s="12">
        <f>H246*1000000</f>
        <v>375000000</v>
      </c>
      <c r="J246" s="17" t="s">
        <v>483</v>
      </c>
      <c r="K246" s="12">
        <v>125000000</v>
      </c>
      <c r="L246" s="4">
        <v>16037</v>
      </c>
      <c r="M246" s="4">
        <v>620</v>
      </c>
      <c r="N246" s="13">
        <v>1</v>
      </c>
      <c r="O246" s="18">
        <f>K246/G246</f>
        <v>2.0962602716753313E-2</v>
      </c>
      <c r="P246" s="19">
        <f>K246/I246</f>
        <v>0.33333333333333331</v>
      </c>
      <c r="Q246" s="13"/>
    </row>
    <row r="247" spans="1:18" x14ac:dyDescent="0.15">
      <c r="A247" s="22">
        <v>246</v>
      </c>
      <c r="B247" s="22">
        <v>5031</v>
      </c>
      <c r="C247" s="23">
        <v>17</v>
      </c>
      <c r="D247" s="24" t="s">
        <v>1486</v>
      </c>
      <c r="E247" s="24" t="s">
        <v>484</v>
      </c>
      <c r="F247" s="25">
        <v>8316</v>
      </c>
      <c r="G247" s="25">
        <f>F247*1000000</f>
        <v>8316000000</v>
      </c>
      <c r="H247" s="25">
        <v>188</v>
      </c>
      <c r="I247" s="25">
        <f>H247*1000000</f>
        <v>188000000</v>
      </c>
      <c r="J247" s="24" t="s">
        <v>485</v>
      </c>
      <c r="K247" s="25">
        <v>45139461</v>
      </c>
      <c r="L247" s="23">
        <v>67300</v>
      </c>
      <c r="M247" s="23">
        <v>274</v>
      </c>
      <c r="N247" s="22">
        <v>0</v>
      </c>
      <c r="O247" s="26">
        <f>K247/G247</f>
        <v>5.428025613275613E-3</v>
      </c>
      <c r="P247" s="27">
        <f>K247/I247</f>
        <v>0.24010351595744681</v>
      </c>
      <c r="Q247" s="22" t="b">
        <v>1</v>
      </c>
    </row>
    <row r="248" spans="1:18" x14ac:dyDescent="0.15">
      <c r="A248" s="13">
        <v>247</v>
      </c>
      <c r="B248" s="13">
        <v>5029</v>
      </c>
      <c r="C248" s="16">
        <v>15</v>
      </c>
      <c r="D248" s="17" t="s">
        <v>1484</v>
      </c>
      <c r="E248" s="17" t="s">
        <v>486</v>
      </c>
      <c r="F248" s="12">
        <v>14970</v>
      </c>
      <c r="G248" s="12">
        <f>F248*1000000</f>
        <v>14970000000</v>
      </c>
      <c r="H248" s="12">
        <v>2997</v>
      </c>
      <c r="I248" s="12">
        <f>H248*1000000</f>
        <v>2997000000</v>
      </c>
      <c r="J248" s="17" t="s">
        <v>487</v>
      </c>
      <c r="K248" s="12">
        <v>229000000</v>
      </c>
      <c r="L248" s="4">
        <v>37100</v>
      </c>
      <c r="M248" s="4">
        <v>928</v>
      </c>
      <c r="N248" s="13">
        <v>1</v>
      </c>
      <c r="O248" s="18">
        <f>K248/G248</f>
        <v>1.5297261189044757E-2</v>
      </c>
      <c r="P248" s="19">
        <f>K248/I248</f>
        <v>7.6409743076409742E-2</v>
      </c>
      <c r="Q248" s="13"/>
    </row>
    <row r="249" spans="1:18" x14ac:dyDescent="0.15">
      <c r="A249" s="13">
        <v>248</v>
      </c>
      <c r="B249" s="13">
        <v>4995</v>
      </c>
      <c r="C249" s="16">
        <v>18</v>
      </c>
      <c r="D249" s="17" t="s">
        <v>1487</v>
      </c>
      <c r="E249" s="17" t="s">
        <v>488</v>
      </c>
      <c r="F249" s="12">
        <v>13307</v>
      </c>
      <c r="G249" s="12">
        <f>F249*1000000</f>
        <v>13307000000</v>
      </c>
      <c r="H249" s="12">
        <v>1245</v>
      </c>
      <c r="I249" s="12">
        <f>H249*1000000</f>
        <v>1245000000</v>
      </c>
      <c r="J249" s="17" t="s">
        <v>489</v>
      </c>
      <c r="K249" s="12">
        <v>750000000</v>
      </c>
      <c r="L249" s="4">
        <v>60000</v>
      </c>
      <c r="M249" s="4">
        <v>2300</v>
      </c>
      <c r="N249" s="13">
        <v>1</v>
      </c>
      <c r="O249" s="18">
        <f>K249/G249</f>
        <v>5.6361313594348837E-2</v>
      </c>
      <c r="P249" s="19">
        <f>K249/I249</f>
        <v>0.60240963855421692</v>
      </c>
      <c r="Q249" s="13"/>
    </row>
    <row r="250" spans="1:18" x14ac:dyDescent="0.15">
      <c r="A250" s="28">
        <v>249</v>
      </c>
      <c r="B250" s="28">
        <v>4984</v>
      </c>
      <c r="C250" s="29">
        <v>9</v>
      </c>
      <c r="D250" s="30" t="s">
        <v>1478</v>
      </c>
      <c r="E250" s="30" t="s">
        <v>490</v>
      </c>
      <c r="F250" s="31">
        <v>7047</v>
      </c>
      <c r="G250" s="31">
        <f>F250*1000000</f>
        <v>7047000000</v>
      </c>
      <c r="H250" s="31">
        <v>603</v>
      </c>
      <c r="I250" s="31">
        <f>H250*1000000</f>
        <v>603000000</v>
      </c>
      <c r="J250" s="30" t="s">
        <v>491</v>
      </c>
      <c r="K250" s="28" t="e">
        <v>#N/A</v>
      </c>
      <c r="L250" s="29">
        <v>35700</v>
      </c>
      <c r="M250" s="29" t="s">
        <v>63</v>
      </c>
      <c r="N250" s="28">
        <v>1</v>
      </c>
      <c r="O250" s="32" t="e">
        <f>K250/G250</f>
        <v>#N/A</v>
      </c>
      <c r="P250" s="33" t="e">
        <f>K250/I250</f>
        <v>#N/A</v>
      </c>
      <c r="Q250" s="28"/>
      <c r="R250" s="28" t="b">
        <v>1</v>
      </c>
    </row>
    <row r="251" spans="1:18" x14ac:dyDescent="0.15">
      <c r="A251" s="13">
        <v>250</v>
      </c>
      <c r="B251" s="13">
        <v>4973</v>
      </c>
      <c r="C251" s="16">
        <v>2</v>
      </c>
      <c r="D251" s="17" t="s">
        <v>1471</v>
      </c>
      <c r="E251" s="17" t="s">
        <v>492</v>
      </c>
      <c r="F251" s="12">
        <v>2375</v>
      </c>
      <c r="G251" s="12">
        <f>F251*1000000</f>
        <v>2375000000</v>
      </c>
      <c r="H251" s="12">
        <v>307</v>
      </c>
      <c r="I251" s="12">
        <f>H251*1000000</f>
        <v>307000000</v>
      </c>
      <c r="J251" s="17" t="s">
        <v>493</v>
      </c>
      <c r="K251" s="12">
        <v>170000000</v>
      </c>
      <c r="L251" s="4">
        <v>13000</v>
      </c>
      <c r="M251" s="4">
        <v>600</v>
      </c>
      <c r="N251" s="13">
        <v>1</v>
      </c>
      <c r="O251" s="18">
        <f>K251/G251</f>
        <v>7.1578947368421048E-2</v>
      </c>
      <c r="P251" s="19">
        <f>K251/I251</f>
        <v>0.55374592833876224</v>
      </c>
      <c r="Q251" s="13"/>
    </row>
    <row r="252" spans="1:18" x14ac:dyDescent="0.15">
      <c r="A252" s="13">
        <v>251</v>
      </c>
      <c r="B252" s="13">
        <v>4958</v>
      </c>
      <c r="C252" s="16">
        <v>13</v>
      </c>
      <c r="D252" s="17" t="s">
        <v>1482</v>
      </c>
      <c r="E252" s="17" t="s">
        <v>494</v>
      </c>
      <c r="F252" s="12">
        <v>2155</v>
      </c>
      <c r="G252" s="12">
        <f>F252*1000000</f>
        <v>2155000000</v>
      </c>
      <c r="H252" s="12">
        <v>242</v>
      </c>
      <c r="I252" s="12">
        <f>H252*1000000</f>
        <v>242000000</v>
      </c>
      <c r="J252" s="17" t="s">
        <v>495</v>
      </c>
      <c r="K252" s="12">
        <v>20000000</v>
      </c>
      <c r="L252" s="4">
        <v>9900</v>
      </c>
      <c r="M252" s="4">
        <v>110</v>
      </c>
      <c r="N252" s="13">
        <v>1</v>
      </c>
      <c r="O252" s="18">
        <f>K252/G252</f>
        <v>9.2807424593967514E-3</v>
      </c>
      <c r="P252" s="19">
        <f>K252/I252</f>
        <v>8.2644628099173556E-2</v>
      </c>
      <c r="Q252" s="13"/>
    </row>
    <row r="253" spans="1:18" x14ac:dyDescent="0.15">
      <c r="A253" s="13">
        <v>252</v>
      </c>
      <c r="B253" s="13">
        <v>4913</v>
      </c>
      <c r="C253" s="16">
        <v>12</v>
      </c>
      <c r="D253" s="17" t="s">
        <v>1481</v>
      </c>
      <c r="E253" s="17" t="s">
        <v>496</v>
      </c>
      <c r="F253" s="12">
        <v>1194</v>
      </c>
      <c r="G253" s="12">
        <f>F253*1000000</f>
        <v>1194000000</v>
      </c>
      <c r="H253" s="12">
        <v>98</v>
      </c>
      <c r="I253" s="12">
        <f>H253*1000000</f>
        <v>98000000</v>
      </c>
      <c r="J253" s="17" t="s">
        <v>497</v>
      </c>
      <c r="K253" s="12">
        <v>25000000</v>
      </c>
      <c r="L253" s="4">
        <v>9000</v>
      </c>
      <c r="M253" s="4">
        <v>105</v>
      </c>
      <c r="N253" s="13">
        <v>1</v>
      </c>
      <c r="O253" s="18">
        <f>K253/G253</f>
        <v>2.0938023450586266E-2</v>
      </c>
      <c r="P253" s="19">
        <f>K253/I253</f>
        <v>0.25510204081632654</v>
      </c>
      <c r="Q253" s="13"/>
    </row>
    <row r="254" spans="1:18" x14ac:dyDescent="0.15">
      <c r="A254" s="7">
        <v>253</v>
      </c>
      <c r="B254" s="7">
        <v>4913</v>
      </c>
      <c r="C254" s="8">
        <v>14</v>
      </c>
      <c r="D254" s="9" t="s">
        <v>1483</v>
      </c>
      <c r="E254" s="9" t="s">
        <v>498</v>
      </c>
      <c r="F254" s="10">
        <v>3289</v>
      </c>
      <c r="G254" s="10">
        <f>F254*1000000</f>
        <v>3289000000</v>
      </c>
      <c r="H254" s="10">
        <v>271</v>
      </c>
      <c r="I254" s="10">
        <f>H254*1000000</f>
        <v>271000000</v>
      </c>
      <c r="J254" s="9" t="s">
        <v>499</v>
      </c>
      <c r="K254" s="10">
        <v>25339114</v>
      </c>
      <c r="L254" s="8">
        <v>14799</v>
      </c>
      <c r="M254" s="8">
        <v>130</v>
      </c>
      <c r="N254" s="7">
        <v>0</v>
      </c>
      <c r="O254" s="14">
        <f>K254/G254</f>
        <v>7.7042000608087561E-3</v>
      </c>
      <c r="P254" s="15">
        <f>K254/I254</f>
        <v>9.3502265682656821E-2</v>
      </c>
      <c r="Q254" s="7"/>
    </row>
    <row r="255" spans="1:18" x14ac:dyDescent="0.15">
      <c r="A255" s="7">
        <v>254</v>
      </c>
      <c r="B255" s="7">
        <v>4895</v>
      </c>
      <c r="C255" s="8">
        <v>5</v>
      </c>
      <c r="D255" s="9" t="s">
        <v>1474</v>
      </c>
      <c r="E255" s="9" t="s">
        <v>500</v>
      </c>
      <c r="F255" s="10">
        <v>3547</v>
      </c>
      <c r="G255" s="10">
        <f>F255*1000000</f>
        <v>3547000000</v>
      </c>
      <c r="H255" s="10">
        <v>140</v>
      </c>
      <c r="I255" s="10">
        <f>H255*1000000</f>
        <v>140000000</v>
      </c>
      <c r="J255" s="9" t="s">
        <v>501</v>
      </c>
      <c r="K255" s="10">
        <v>62663785</v>
      </c>
      <c r="L255" s="8">
        <v>25025</v>
      </c>
      <c r="M255" s="8">
        <v>265</v>
      </c>
      <c r="N255" s="7">
        <v>0</v>
      </c>
      <c r="O255" s="14">
        <f>K255/G255</f>
        <v>1.7666700028192837E-2</v>
      </c>
      <c r="P255" s="15">
        <f>K255/I255</f>
        <v>0.44759846428571426</v>
      </c>
      <c r="Q255" s="7"/>
    </row>
    <row r="256" spans="1:18" x14ac:dyDescent="0.15">
      <c r="A256" s="22">
        <v>255</v>
      </c>
      <c r="B256" s="22">
        <v>4892</v>
      </c>
      <c r="C256" s="23">
        <v>1</v>
      </c>
      <c r="D256" s="24" t="s">
        <v>1470</v>
      </c>
      <c r="E256" s="24" t="s">
        <v>502</v>
      </c>
      <c r="F256" s="25">
        <v>4285</v>
      </c>
      <c r="G256" s="25">
        <f>F256*1000000</f>
        <v>4285000000</v>
      </c>
      <c r="H256" s="25">
        <v>205</v>
      </c>
      <c r="I256" s="25">
        <f>H256*1000000</f>
        <v>205000000</v>
      </c>
      <c r="J256" s="24" t="s">
        <v>503</v>
      </c>
      <c r="K256" s="25">
        <v>78034855</v>
      </c>
      <c r="L256" s="23">
        <v>11800</v>
      </c>
      <c r="M256" s="23">
        <v>588</v>
      </c>
      <c r="N256" s="22">
        <v>0</v>
      </c>
      <c r="O256" s="26">
        <f>K256/G256</f>
        <v>1.8211168028004668E-2</v>
      </c>
      <c r="P256" s="27">
        <f>K256/I256</f>
        <v>0.38065782926829267</v>
      </c>
      <c r="Q256" s="22" t="b">
        <v>1</v>
      </c>
    </row>
    <row r="257" spans="1:18" x14ac:dyDescent="0.15">
      <c r="A257" s="22">
        <v>256</v>
      </c>
      <c r="B257" s="22">
        <v>4890</v>
      </c>
      <c r="C257" s="23">
        <v>16</v>
      </c>
      <c r="D257" s="24" t="s">
        <v>1485</v>
      </c>
      <c r="E257" s="24" t="s">
        <v>504</v>
      </c>
      <c r="F257" s="25">
        <v>7337</v>
      </c>
      <c r="G257" s="25">
        <f>F257*1000000</f>
        <v>7337000000</v>
      </c>
      <c r="H257" s="22" t="s">
        <v>63</v>
      </c>
      <c r="I257" s="25" t="e">
        <f>H257*1000000</f>
        <v>#VALUE!</v>
      </c>
      <c r="J257" s="24" t="s">
        <v>505</v>
      </c>
      <c r="K257" s="25">
        <v>169317182</v>
      </c>
      <c r="L257" s="23">
        <v>29400</v>
      </c>
      <c r="M257" s="23">
        <v>695</v>
      </c>
      <c r="N257" s="22">
        <v>0</v>
      </c>
      <c r="O257" s="26">
        <f>K257/G257</f>
        <v>2.3077168052337466E-2</v>
      </c>
      <c r="P257" s="27" t="e">
        <f>K257/I257</f>
        <v>#VALUE!</v>
      </c>
      <c r="Q257" s="22" t="b">
        <v>1</v>
      </c>
    </row>
    <row r="258" spans="1:18" x14ac:dyDescent="0.15">
      <c r="A258" s="22">
        <v>257</v>
      </c>
      <c r="B258" s="22">
        <v>4881</v>
      </c>
      <c r="C258" s="23">
        <v>15</v>
      </c>
      <c r="D258" s="24" t="s">
        <v>1484</v>
      </c>
      <c r="E258" s="24" t="s">
        <v>506</v>
      </c>
      <c r="F258" s="25">
        <v>9156</v>
      </c>
      <c r="G258" s="25">
        <f>F258*1000000</f>
        <v>9156000000</v>
      </c>
      <c r="H258" s="25">
        <v>1517</v>
      </c>
      <c r="I258" s="25">
        <f>H258*1000000</f>
        <v>1517000000</v>
      </c>
      <c r="J258" s="24" t="s">
        <v>507</v>
      </c>
      <c r="K258" s="25">
        <v>222659722</v>
      </c>
      <c r="L258" s="23">
        <v>49464</v>
      </c>
      <c r="M258" s="23">
        <v>1506</v>
      </c>
      <c r="N258" s="22">
        <v>0</v>
      </c>
      <c r="O258" s="26">
        <f>K258/G258</f>
        <v>2.4318449322848407E-2</v>
      </c>
      <c r="P258" s="27">
        <f>K258/I258</f>
        <v>0.14677634937376402</v>
      </c>
      <c r="Q258" s="22" t="b">
        <v>1</v>
      </c>
    </row>
    <row r="259" spans="1:18" x14ac:dyDescent="0.15">
      <c r="A259" s="22">
        <v>258</v>
      </c>
      <c r="B259" s="22">
        <v>4880</v>
      </c>
      <c r="C259" s="23">
        <v>12</v>
      </c>
      <c r="D259" s="24" t="s">
        <v>1481</v>
      </c>
      <c r="E259" s="24" t="s">
        <v>508</v>
      </c>
      <c r="F259" s="25">
        <v>1093</v>
      </c>
      <c r="G259" s="25">
        <f>F259*1000000</f>
        <v>1093000000</v>
      </c>
      <c r="H259" s="25">
        <v>14</v>
      </c>
      <c r="I259" s="25">
        <f>H259*1000000</f>
        <v>14000000</v>
      </c>
      <c r="J259" s="24" t="s">
        <v>88</v>
      </c>
      <c r="K259" s="25">
        <v>13799569</v>
      </c>
      <c r="L259" s="23">
        <v>8500</v>
      </c>
      <c r="M259" s="23">
        <v>94</v>
      </c>
      <c r="N259" s="22">
        <v>0</v>
      </c>
      <c r="O259" s="26">
        <f>K259/G259</f>
        <v>1.2625406221408966E-2</v>
      </c>
      <c r="P259" s="27">
        <f>K259/I259</f>
        <v>0.98568350000000005</v>
      </c>
      <c r="Q259" s="22" t="b">
        <v>1</v>
      </c>
    </row>
    <row r="260" spans="1:18" x14ac:dyDescent="0.15">
      <c r="A260" s="28">
        <v>259</v>
      </c>
      <c r="B260" s="28">
        <v>4865</v>
      </c>
      <c r="C260" s="29">
        <v>16</v>
      </c>
      <c r="D260" s="30" t="s">
        <v>1485</v>
      </c>
      <c r="E260" s="30" t="s">
        <v>509</v>
      </c>
      <c r="F260" s="28" t="s">
        <v>248</v>
      </c>
      <c r="G260" s="31" t="e">
        <f>F260*1000000</f>
        <v>#VALUE!</v>
      </c>
      <c r="H260" s="28" t="s">
        <v>63</v>
      </c>
      <c r="I260" s="31" t="e">
        <f>H260*1000000</f>
        <v>#VALUE!</v>
      </c>
      <c r="J260" s="30" t="s">
        <v>88</v>
      </c>
      <c r="K260" s="28" t="e">
        <v>#N/A</v>
      </c>
      <c r="L260" s="29" t="s">
        <v>63</v>
      </c>
      <c r="M260" s="29" t="s">
        <v>63</v>
      </c>
      <c r="N260" s="28">
        <v>1</v>
      </c>
      <c r="O260" s="32" t="e">
        <f>K260/G260</f>
        <v>#N/A</v>
      </c>
      <c r="P260" s="33" t="e">
        <f>K260/I260</f>
        <v>#N/A</v>
      </c>
      <c r="Q260" s="28"/>
      <c r="R260" s="28" t="b">
        <v>1</v>
      </c>
    </row>
    <row r="261" spans="1:18" x14ac:dyDescent="0.15">
      <c r="A261" s="28">
        <v>260</v>
      </c>
      <c r="B261" s="28">
        <v>4852</v>
      </c>
      <c r="C261" s="29">
        <v>12</v>
      </c>
      <c r="D261" s="30" t="s">
        <v>1481</v>
      </c>
      <c r="E261" s="30" t="s">
        <v>510</v>
      </c>
      <c r="F261" s="28" t="s">
        <v>248</v>
      </c>
      <c r="G261" s="31" t="e">
        <f>F261*1000000</f>
        <v>#VALUE!</v>
      </c>
      <c r="H261" s="28" t="s">
        <v>63</v>
      </c>
      <c r="I261" s="31" t="e">
        <f>H261*1000000</f>
        <v>#VALUE!</v>
      </c>
      <c r="J261" s="30" t="s">
        <v>511</v>
      </c>
      <c r="K261" s="28" t="e">
        <v>#N/A</v>
      </c>
      <c r="L261" s="29" t="s">
        <v>63</v>
      </c>
      <c r="M261" s="29" t="s">
        <v>63</v>
      </c>
      <c r="N261" s="28">
        <v>1</v>
      </c>
      <c r="O261" s="32" t="e">
        <f>K261/G261</f>
        <v>#N/A</v>
      </c>
      <c r="P261" s="33" t="e">
        <f>K261/I261</f>
        <v>#N/A</v>
      </c>
      <c r="Q261" s="28"/>
      <c r="R261" s="28" t="b">
        <v>1</v>
      </c>
    </row>
    <row r="262" spans="1:18" x14ac:dyDescent="0.15">
      <c r="A262" s="22">
        <v>261</v>
      </c>
      <c r="B262" s="22">
        <v>4835</v>
      </c>
      <c r="C262" s="23">
        <v>13</v>
      </c>
      <c r="D262" s="24" t="s">
        <v>1482</v>
      </c>
      <c r="E262" s="24" t="s">
        <v>512</v>
      </c>
      <c r="F262" s="25">
        <v>1177</v>
      </c>
      <c r="G262" s="25">
        <f>F262*1000000</f>
        <v>1177000000</v>
      </c>
      <c r="H262" s="22" t="s">
        <v>63</v>
      </c>
      <c r="I262" s="25" t="e">
        <f>H262*1000000</f>
        <v>#VALUE!</v>
      </c>
      <c r="J262" s="24" t="s">
        <v>88</v>
      </c>
      <c r="K262" s="25">
        <v>16210930</v>
      </c>
      <c r="L262" s="23">
        <v>7000</v>
      </c>
      <c r="M262" s="23">
        <v>92</v>
      </c>
      <c r="N262" s="22">
        <v>0</v>
      </c>
      <c r="O262" s="26">
        <f>K262/G262</f>
        <v>1.3773092608326253E-2</v>
      </c>
      <c r="P262" s="27" t="e">
        <f>K262/I262</f>
        <v>#VALUE!</v>
      </c>
      <c r="Q262" s="22" t="b">
        <v>1</v>
      </c>
    </row>
    <row r="263" spans="1:18" x14ac:dyDescent="0.15">
      <c r="A263" s="7">
        <v>262</v>
      </c>
      <c r="B263" s="7">
        <v>4777</v>
      </c>
      <c r="C263" s="8">
        <v>17</v>
      </c>
      <c r="D263" s="9" t="s">
        <v>1486</v>
      </c>
      <c r="E263" s="9" t="s">
        <v>513</v>
      </c>
      <c r="F263" s="10">
        <v>13190</v>
      </c>
      <c r="G263" s="10">
        <f>F263*1000000</f>
        <v>13190000000</v>
      </c>
      <c r="H263" s="10">
        <v>125</v>
      </c>
      <c r="I263" s="10">
        <f>H263*1000000</f>
        <v>125000000</v>
      </c>
      <c r="J263" s="9" t="s">
        <v>514</v>
      </c>
      <c r="K263" s="10">
        <v>116744690</v>
      </c>
      <c r="L263" s="8">
        <v>14500</v>
      </c>
      <c r="M263" s="8">
        <v>849</v>
      </c>
      <c r="N263" s="7">
        <v>0</v>
      </c>
      <c r="O263" s="14">
        <f>K263/G263</f>
        <v>8.8509999999999995E-3</v>
      </c>
      <c r="P263" s="15">
        <f>K263/I263</f>
        <v>0.93395751999999999</v>
      </c>
      <c r="Q263" s="7"/>
    </row>
    <row r="264" spans="1:18" x14ac:dyDescent="0.15">
      <c r="A264" s="22">
        <v>263</v>
      </c>
      <c r="B264" s="22">
        <v>4771</v>
      </c>
      <c r="C264" s="23">
        <v>8</v>
      </c>
      <c r="D264" s="24" t="s">
        <v>1477</v>
      </c>
      <c r="E264" s="24" t="s">
        <v>515</v>
      </c>
      <c r="F264" s="25">
        <v>3964</v>
      </c>
      <c r="G264" s="25">
        <f>F264*1000000</f>
        <v>3964000000</v>
      </c>
      <c r="H264" s="25">
        <v>32</v>
      </c>
      <c r="I264" s="25">
        <f>H264*1000000</f>
        <v>32000000</v>
      </c>
      <c r="J264" s="24" t="s">
        <v>516</v>
      </c>
      <c r="K264" s="25">
        <v>261434912</v>
      </c>
      <c r="L264" s="23">
        <v>14400</v>
      </c>
      <c r="M264" s="23">
        <v>837</v>
      </c>
      <c r="N264" s="22">
        <v>0</v>
      </c>
      <c r="O264" s="26">
        <f>K264/G264</f>
        <v>6.5952298688193745E-2</v>
      </c>
      <c r="P264" s="27">
        <f>K264/I264</f>
        <v>8.1698409999999999</v>
      </c>
      <c r="Q264" s="22" t="b">
        <v>1</v>
      </c>
    </row>
    <row r="265" spans="1:18" x14ac:dyDescent="0.15">
      <c r="A265" s="13">
        <v>264</v>
      </c>
      <c r="B265" s="13">
        <v>4742</v>
      </c>
      <c r="C265" s="16">
        <v>1</v>
      </c>
      <c r="D265" s="17" t="s">
        <v>1470</v>
      </c>
      <c r="E265" s="17" t="s">
        <v>517</v>
      </c>
      <c r="F265" s="12">
        <v>2241</v>
      </c>
      <c r="G265" s="12">
        <f>F265*1000000</f>
        <v>2241000000</v>
      </c>
      <c r="H265" s="12">
        <v>121</v>
      </c>
      <c r="I265" s="12">
        <f>H265*1000000</f>
        <v>121000000</v>
      </c>
      <c r="J265" s="17" t="s">
        <v>518</v>
      </c>
      <c r="K265" s="12">
        <v>36000000</v>
      </c>
      <c r="L265" s="4">
        <v>18000</v>
      </c>
      <c r="M265" s="4">
        <v>325</v>
      </c>
      <c r="N265" s="13">
        <v>1</v>
      </c>
      <c r="O265" s="18">
        <f>K265/G265</f>
        <v>1.6064257028112448E-2</v>
      </c>
      <c r="P265" s="19">
        <f>K265/I265</f>
        <v>0.2975206611570248</v>
      </c>
      <c r="Q265" s="13"/>
    </row>
    <row r="266" spans="1:18" x14ac:dyDescent="0.15">
      <c r="A266" s="13">
        <v>265</v>
      </c>
      <c r="B266" s="13">
        <v>4720</v>
      </c>
      <c r="C266" s="16">
        <v>12</v>
      </c>
      <c r="D266" s="17" t="s">
        <v>1481</v>
      </c>
      <c r="E266" s="17" t="s">
        <v>519</v>
      </c>
      <c r="F266" s="12">
        <v>1438</v>
      </c>
      <c r="G266" s="12">
        <f>F266*1000000</f>
        <v>1438000000</v>
      </c>
      <c r="H266" s="12">
        <v>78</v>
      </c>
      <c r="I266" s="12">
        <f>H266*1000000</f>
        <v>78000000</v>
      </c>
      <c r="J266" s="17" t="s">
        <v>520</v>
      </c>
      <c r="K266" s="12">
        <v>16000000</v>
      </c>
      <c r="L266" s="4">
        <v>5500</v>
      </c>
      <c r="M266" s="4">
        <v>150</v>
      </c>
      <c r="N266" s="13">
        <v>1</v>
      </c>
      <c r="O266" s="18">
        <f>K266/G266</f>
        <v>1.1126564673157162E-2</v>
      </c>
      <c r="P266" s="19">
        <f>K266/I266</f>
        <v>0.20512820512820512</v>
      </c>
      <c r="Q266" s="13"/>
    </row>
    <row r="267" spans="1:18" x14ac:dyDescent="0.15">
      <c r="A267" s="22">
        <v>266</v>
      </c>
      <c r="B267" s="22">
        <v>4674</v>
      </c>
      <c r="C267" s="23">
        <v>17</v>
      </c>
      <c r="D267" s="24" t="s">
        <v>1486</v>
      </c>
      <c r="E267" s="24" t="s">
        <v>521</v>
      </c>
      <c r="F267" s="25">
        <v>11286</v>
      </c>
      <c r="G267" s="25">
        <f>F267*1000000</f>
        <v>11286000000</v>
      </c>
      <c r="H267" s="25">
        <v>307</v>
      </c>
      <c r="I267" s="25">
        <f>H267*1000000</f>
        <v>307000000</v>
      </c>
      <c r="J267" s="24" t="s">
        <v>522</v>
      </c>
      <c r="K267" s="25">
        <v>61260697</v>
      </c>
      <c r="L267" s="23">
        <v>111082</v>
      </c>
      <c r="M267" s="23">
        <v>372</v>
      </c>
      <c r="N267" s="22">
        <v>0</v>
      </c>
      <c r="O267" s="26">
        <f>K267/G267</f>
        <v>5.42802560694666E-3</v>
      </c>
      <c r="P267" s="27">
        <f>K267/I267</f>
        <v>0.19954624429967427</v>
      </c>
      <c r="Q267" s="22" t="b">
        <v>1</v>
      </c>
    </row>
    <row r="268" spans="1:18" x14ac:dyDescent="0.15">
      <c r="A268" s="22">
        <v>267</v>
      </c>
      <c r="B268" s="22">
        <v>4655</v>
      </c>
      <c r="C268" s="23">
        <v>2</v>
      </c>
      <c r="D268" s="24" t="s">
        <v>1471</v>
      </c>
      <c r="E268" s="24" t="s">
        <v>523</v>
      </c>
      <c r="F268" s="25">
        <v>1791</v>
      </c>
      <c r="G268" s="25">
        <f>F268*1000000</f>
        <v>1791000000</v>
      </c>
      <c r="H268" s="25">
        <v>221</v>
      </c>
      <c r="I268" s="25">
        <f>H268*1000000</f>
        <v>221000000</v>
      </c>
      <c r="J268" s="24" t="s">
        <v>524</v>
      </c>
      <c r="K268" s="25">
        <v>87541995</v>
      </c>
      <c r="L268" s="23">
        <v>13330</v>
      </c>
      <c r="M268" s="23">
        <v>512</v>
      </c>
      <c r="N268" s="22">
        <v>0</v>
      </c>
      <c r="O268" s="26">
        <f>K268/G268</f>
        <v>4.8878835845896147E-2</v>
      </c>
      <c r="P268" s="27">
        <f>K268/I268</f>
        <v>0.39611762443438914</v>
      </c>
      <c r="Q268" s="22" t="b">
        <v>1</v>
      </c>
    </row>
    <row r="269" spans="1:18" x14ac:dyDescent="0.15">
      <c r="A269" s="22">
        <v>268</v>
      </c>
      <c r="B269" s="22">
        <v>4645</v>
      </c>
      <c r="C269" s="23">
        <v>12</v>
      </c>
      <c r="D269" s="24" t="s">
        <v>1481</v>
      </c>
      <c r="E269" s="24" t="s">
        <v>525</v>
      </c>
      <c r="F269" s="25">
        <v>1702</v>
      </c>
      <c r="G269" s="25">
        <f>F269*1000000</f>
        <v>1702000000</v>
      </c>
      <c r="H269" s="25">
        <v>-234</v>
      </c>
      <c r="I269" s="25">
        <f>H269*1000000</f>
        <v>-234000000</v>
      </c>
      <c r="J269" s="24" t="s">
        <v>526</v>
      </c>
      <c r="K269" s="25">
        <v>21488441</v>
      </c>
      <c r="L269" s="23">
        <v>12700</v>
      </c>
      <c r="M269" s="23">
        <v>146</v>
      </c>
      <c r="N269" s="22">
        <v>0</v>
      </c>
      <c r="O269" s="26">
        <f>K269/G269</f>
        <v>1.2625405992949472E-2</v>
      </c>
      <c r="P269" s="27">
        <f>K269/I269</f>
        <v>-9.1830944444444451E-2</v>
      </c>
      <c r="Q269" s="22" t="b">
        <v>1</v>
      </c>
    </row>
    <row r="270" spans="1:18" x14ac:dyDescent="0.15">
      <c r="A270" s="13">
        <v>269</v>
      </c>
      <c r="B270" s="13">
        <v>4644</v>
      </c>
      <c r="C270" s="16">
        <v>14</v>
      </c>
      <c r="D270" s="17" t="s">
        <v>1483</v>
      </c>
      <c r="E270" s="17" t="s">
        <v>527</v>
      </c>
      <c r="F270" s="12">
        <v>1078</v>
      </c>
      <c r="G270" s="12">
        <f>F270*1000000</f>
        <v>1078000000</v>
      </c>
      <c r="H270" s="13" t="s">
        <v>63</v>
      </c>
      <c r="I270" s="12" t="e">
        <f>H270*1000000</f>
        <v>#VALUE!</v>
      </c>
      <c r="J270" s="17" t="s">
        <v>528</v>
      </c>
      <c r="K270" s="12">
        <v>6306000</v>
      </c>
      <c r="L270" s="4">
        <v>180</v>
      </c>
      <c r="M270" s="4">
        <v>45</v>
      </c>
      <c r="N270" s="13">
        <v>1</v>
      </c>
      <c r="O270" s="18">
        <f>K270/G270</f>
        <v>5.8497217068645638E-3</v>
      </c>
      <c r="P270" s="19" t="e">
        <f>K270/I270</f>
        <v>#VALUE!</v>
      </c>
      <c r="Q270" s="13"/>
    </row>
    <row r="271" spans="1:18" x14ac:dyDescent="0.15">
      <c r="A271" s="13">
        <v>270</v>
      </c>
      <c r="B271" s="13">
        <v>4642</v>
      </c>
      <c r="C271" s="16">
        <v>3</v>
      </c>
      <c r="D271" s="17" t="s">
        <v>1472</v>
      </c>
      <c r="E271" s="17" t="s">
        <v>529</v>
      </c>
      <c r="F271" s="12">
        <v>4865</v>
      </c>
      <c r="G271" s="12">
        <f>F271*1000000</f>
        <v>4865000000</v>
      </c>
      <c r="H271" s="12">
        <v>389</v>
      </c>
      <c r="I271" s="12">
        <f>H271*1000000</f>
        <v>389000000</v>
      </c>
      <c r="J271" s="17" t="s">
        <v>530</v>
      </c>
      <c r="K271" s="12">
        <v>159000000</v>
      </c>
      <c r="L271" s="4">
        <v>12000</v>
      </c>
      <c r="M271" s="4">
        <v>400</v>
      </c>
      <c r="N271" s="13">
        <v>1</v>
      </c>
      <c r="O271" s="18">
        <f>K271/G271</f>
        <v>3.2682425488180886E-2</v>
      </c>
      <c r="P271" s="19">
        <f>K271/I271</f>
        <v>0.40874035989717222</v>
      </c>
      <c r="Q271" s="13"/>
    </row>
    <row r="272" spans="1:18" x14ac:dyDescent="0.15">
      <c r="A272" s="7">
        <v>271</v>
      </c>
      <c r="B272" s="7">
        <v>4640</v>
      </c>
      <c r="C272" s="8">
        <v>12</v>
      </c>
      <c r="D272" s="9" t="s">
        <v>1481</v>
      </c>
      <c r="E272" s="9" t="s">
        <v>531</v>
      </c>
      <c r="F272" s="10">
        <v>1930</v>
      </c>
      <c r="G272" s="10">
        <f>F272*1000000</f>
        <v>1930000000</v>
      </c>
      <c r="H272" s="10">
        <v>69</v>
      </c>
      <c r="I272" s="10">
        <f>H272*1000000</f>
        <v>69000000</v>
      </c>
      <c r="J272" s="9" t="s">
        <v>532</v>
      </c>
      <c r="K272" s="10">
        <v>24026148</v>
      </c>
      <c r="L272" s="8">
        <v>15985</v>
      </c>
      <c r="M272" s="8">
        <v>164</v>
      </c>
      <c r="N272" s="7">
        <v>0</v>
      </c>
      <c r="O272" s="14">
        <f>K272/G272</f>
        <v>1.2448781347150259E-2</v>
      </c>
      <c r="P272" s="15">
        <f>K272/I272</f>
        <v>0.34820504347826087</v>
      </c>
      <c r="Q272" s="7"/>
    </row>
    <row r="273" spans="1:17" x14ac:dyDescent="0.15">
      <c r="A273" s="7">
        <v>272</v>
      </c>
      <c r="B273" s="7">
        <v>4627</v>
      </c>
      <c r="C273" s="8">
        <v>15</v>
      </c>
      <c r="D273" s="9" t="s">
        <v>1484</v>
      </c>
      <c r="E273" s="9" t="s">
        <v>533</v>
      </c>
      <c r="F273" s="10">
        <v>8281</v>
      </c>
      <c r="G273" s="10">
        <f>F273*1000000</f>
        <v>8281000000</v>
      </c>
      <c r="H273" s="10">
        <v>1298</v>
      </c>
      <c r="I273" s="10">
        <f>H273*1000000</f>
        <v>1298000000</v>
      </c>
      <c r="J273" s="9" t="s">
        <v>534</v>
      </c>
      <c r="K273" s="10">
        <v>243623708</v>
      </c>
      <c r="L273" s="8">
        <v>40500</v>
      </c>
      <c r="M273" s="8">
        <v>1329</v>
      </c>
      <c r="N273" s="7">
        <v>0</v>
      </c>
      <c r="O273" s="14">
        <f>K273/G273</f>
        <v>2.9419600048303345E-2</v>
      </c>
      <c r="P273" s="15">
        <f>K273/I273</f>
        <v>0.18769160862865947</v>
      </c>
      <c r="Q273" s="7"/>
    </row>
    <row r="274" spans="1:17" x14ac:dyDescent="0.15">
      <c r="A274" s="22">
        <v>273</v>
      </c>
      <c r="B274" s="22">
        <v>4620</v>
      </c>
      <c r="C274" s="23">
        <v>12</v>
      </c>
      <c r="D274" s="24" t="s">
        <v>1481</v>
      </c>
      <c r="E274" s="24" t="s">
        <v>535</v>
      </c>
      <c r="F274" s="25">
        <v>706</v>
      </c>
      <c r="G274" s="25">
        <f>F274*1000000</f>
        <v>706000000</v>
      </c>
      <c r="H274" s="22" t="s">
        <v>63</v>
      </c>
      <c r="I274" s="25" t="e">
        <f>H274*1000000</f>
        <v>#VALUE!</v>
      </c>
      <c r="J274" s="24" t="s">
        <v>88</v>
      </c>
      <c r="K274" s="25">
        <v>8913537</v>
      </c>
      <c r="L274" s="23">
        <v>12000</v>
      </c>
      <c r="M274" s="23">
        <v>61</v>
      </c>
      <c r="N274" s="22">
        <v>0</v>
      </c>
      <c r="O274" s="26">
        <f>K274/G274</f>
        <v>1.2625406515580737E-2</v>
      </c>
      <c r="P274" s="27" t="e">
        <f>K274/I274</f>
        <v>#VALUE!</v>
      </c>
      <c r="Q274" s="22" t="b">
        <v>1</v>
      </c>
    </row>
    <row r="275" spans="1:17" x14ac:dyDescent="0.15">
      <c r="A275" s="22">
        <v>274</v>
      </c>
      <c r="B275" s="22">
        <v>4612</v>
      </c>
      <c r="C275" s="23">
        <v>13</v>
      </c>
      <c r="D275" s="24" t="s">
        <v>1482</v>
      </c>
      <c r="E275" s="24" t="s">
        <v>536</v>
      </c>
      <c r="F275" s="25">
        <v>1756</v>
      </c>
      <c r="G275" s="25">
        <f>F275*1000000</f>
        <v>1756000000</v>
      </c>
      <c r="H275" s="25">
        <v>108</v>
      </c>
      <c r="I275" s="25">
        <f>H275*1000000</f>
        <v>108000000</v>
      </c>
      <c r="J275" s="24" t="s">
        <v>88</v>
      </c>
      <c r="K275" s="25">
        <v>24185550</v>
      </c>
      <c r="L275" s="23">
        <v>16100</v>
      </c>
      <c r="M275" s="23">
        <v>137</v>
      </c>
      <c r="N275" s="22">
        <v>0</v>
      </c>
      <c r="O275" s="26">
        <f>K275/G275</f>
        <v>1.3773092255125284E-2</v>
      </c>
      <c r="P275" s="27">
        <f>K275/I275</f>
        <v>0.22394027777777778</v>
      </c>
      <c r="Q275" s="22" t="b">
        <v>1</v>
      </c>
    </row>
    <row r="276" spans="1:17" x14ac:dyDescent="0.15">
      <c r="A276" s="22">
        <v>275</v>
      </c>
      <c r="B276" s="22">
        <v>4610</v>
      </c>
      <c r="C276" s="23">
        <v>17</v>
      </c>
      <c r="D276" s="24" t="s">
        <v>1486</v>
      </c>
      <c r="E276" s="24" t="s">
        <v>537</v>
      </c>
      <c r="F276" s="25">
        <v>12223</v>
      </c>
      <c r="G276" s="25">
        <f>F276*1000000</f>
        <v>12223000000</v>
      </c>
      <c r="H276" s="25">
        <v>782</v>
      </c>
      <c r="I276" s="25">
        <f>H276*1000000</f>
        <v>782000000</v>
      </c>
      <c r="J276" s="24" t="s">
        <v>538</v>
      </c>
      <c r="K276" s="25">
        <v>66346757</v>
      </c>
      <c r="L276" s="23">
        <v>113000</v>
      </c>
      <c r="M276" s="23">
        <v>403</v>
      </c>
      <c r="N276" s="22">
        <v>0</v>
      </c>
      <c r="O276" s="26">
        <f>K276/G276</f>
        <v>5.4280256074613438E-3</v>
      </c>
      <c r="P276" s="27">
        <f>K276/I276</f>
        <v>8.4842400255754472E-2</v>
      </c>
      <c r="Q276" s="22" t="b">
        <v>1</v>
      </c>
    </row>
    <row r="277" spans="1:17" x14ac:dyDescent="0.15">
      <c r="A277" s="22">
        <v>276</v>
      </c>
      <c r="B277" s="22">
        <v>4608</v>
      </c>
      <c r="C277" s="23">
        <v>9</v>
      </c>
      <c r="D277" s="24" t="s">
        <v>1478</v>
      </c>
      <c r="E277" s="24" t="s">
        <v>539</v>
      </c>
      <c r="F277" s="25">
        <v>13000</v>
      </c>
      <c r="G277" s="25">
        <f>F277*1000000</f>
        <v>13000000000</v>
      </c>
      <c r="H277" s="22" t="s">
        <v>63</v>
      </c>
      <c r="I277" s="25" t="e">
        <f>H277*1000000</f>
        <v>#VALUE!</v>
      </c>
      <c r="J277" s="24" t="s">
        <v>88</v>
      </c>
      <c r="K277" s="25">
        <v>154518239</v>
      </c>
      <c r="L277" s="23">
        <v>27000</v>
      </c>
      <c r="M277" s="23">
        <v>1233</v>
      </c>
      <c r="N277" s="22">
        <v>0</v>
      </c>
      <c r="O277" s="26">
        <f>K277/G277</f>
        <v>1.1886018384615385E-2</v>
      </c>
      <c r="P277" s="27" t="e">
        <f>K277/I277</f>
        <v>#VALUE!</v>
      </c>
      <c r="Q277" s="22" t="b">
        <v>1</v>
      </c>
    </row>
    <row r="278" spans="1:17" x14ac:dyDescent="0.15">
      <c r="A278" s="22">
        <v>277</v>
      </c>
      <c r="B278" s="22">
        <v>4599</v>
      </c>
      <c r="C278" s="23">
        <v>17</v>
      </c>
      <c r="D278" s="24" t="s">
        <v>1486</v>
      </c>
      <c r="E278" s="24" t="s">
        <v>540</v>
      </c>
      <c r="F278" s="25">
        <v>83412</v>
      </c>
      <c r="G278" s="25">
        <f>F278*1000000</f>
        <v>83412000000</v>
      </c>
      <c r="H278" s="25">
        <v>2681</v>
      </c>
      <c r="I278" s="25">
        <f>H278*1000000</f>
        <v>2681000000</v>
      </c>
      <c r="J278" s="24" t="s">
        <v>541</v>
      </c>
      <c r="K278" s="25">
        <v>452762471</v>
      </c>
      <c r="L278" s="23">
        <v>622000</v>
      </c>
      <c r="M278" s="23">
        <v>1150</v>
      </c>
      <c r="N278" s="22">
        <v>0</v>
      </c>
      <c r="O278" s="26">
        <f>K278/G278</f>
        <v>5.428025595837529E-3</v>
      </c>
      <c r="P278" s="27">
        <f>K278/I278</f>
        <v>0.16887820626631853</v>
      </c>
      <c r="Q278" s="22" t="b">
        <v>1</v>
      </c>
    </row>
    <row r="279" spans="1:17" x14ac:dyDescent="0.15">
      <c r="A279" s="22">
        <v>278</v>
      </c>
      <c r="B279" s="22">
        <v>4594</v>
      </c>
      <c r="C279" s="23">
        <v>12</v>
      </c>
      <c r="D279" s="24" t="s">
        <v>1481</v>
      </c>
      <c r="E279" s="24" t="s">
        <v>542</v>
      </c>
      <c r="F279" s="25">
        <v>1896</v>
      </c>
      <c r="G279" s="25">
        <f>F279*1000000</f>
        <v>1896000000</v>
      </c>
      <c r="H279" s="25">
        <v>63</v>
      </c>
      <c r="I279" s="25">
        <f>H279*1000000</f>
        <v>63000000</v>
      </c>
      <c r="J279" s="24" t="s">
        <v>543</v>
      </c>
      <c r="K279" s="25">
        <v>23937770</v>
      </c>
      <c r="L279" s="23" t="s">
        <v>63</v>
      </c>
      <c r="M279" s="23">
        <v>163</v>
      </c>
      <c r="N279" s="22">
        <v>0</v>
      </c>
      <c r="O279" s="26">
        <f>K279/G279</f>
        <v>1.2625406118143461E-2</v>
      </c>
      <c r="P279" s="27">
        <f>K279/I279</f>
        <v>0.37996460317460318</v>
      </c>
      <c r="Q279" s="22" t="b">
        <v>1</v>
      </c>
    </row>
    <row r="280" spans="1:17" x14ac:dyDescent="0.15">
      <c r="A280" s="13">
        <v>279</v>
      </c>
      <c r="B280" s="13">
        <v>4585</v>
      </c>
      <c r="C280" s="16">
        <v>19</v>
      </c>
      <c r="D280" s="17" t="s">
        <v>1488</v>
      </c>
      <c r="E280" s="17" t="s">
        <v>544</v>
      </c>
      <c r="F280" s="12">
        <v>4686</v>
      </c>
      <c r="G280" s="12">
        <f>F280*1000000</f>
        <v>4686000000</v>
      </c>
      <c r="H280" s="12">
        <v>154</v>
      </c>
      <c r="I280" s="12">
        <f>H280*1000000</f>
        <v>154000000</v>
      </c>
      <c r="J280" s="17" t="s">
        <v>545</v>
      </c>
      <c r="K280" s="12">
        <v>105000000</v>
      </c>
      <c r="L280" s="4">
        <v>43000</v>
      </c>
      <c r="M280" s="4">
        <v>700</v>
      </c>
      <c r="N280" s="13">
        <v>1</v>
      </c>
      <c r="O280" s="18">
        <f>K280/G280</f>
        <v>2.2407170294494239E-2</v>
      </c>
      <c r="P280" s="19">
        <f>K280/I280</f>
        <v>0.68181818181818177</v>
      </c>
      <c r="Q280" s="13"/>
    </row>
    <row r="281" spans="1:17" x14ac:dyDescent="0.15">
      <c r="A281" s="7">
        <v>280</v>
      </c>
      <c r="B281" s="7">
        <v>4582</v>
      </c>
      <c r="C281" s="8">
        <v>4</v>
      </c>
      <c r="D281" s="9" t="s">
        <v>1473</v>
      </c>
      <c r="E281" s="9" t="s">
        <v>546</v>
      </c>
      <c r="F281" s="10">
        <v>3271</v>
      </c>
      <c r="G281" s="10">
        <f>F281*1000000</f>
        <v>3271000000</v>
      </c>
      <c r="H281" s="10">
        <v>348</v>
      </c>
      <c r="I281" s="10">
        <f>H281*1000000</f>
        <v>348000000</v>
      </c>
      <c r="J281" s="9" t="s">
        <v>547</v>
      </c>
      <c r="K281" s="10">
        <v>73858199</v>
      </c>
      <c r="L281" s="8">
        <v>32539</v>
      </c>
      <c r="M281" s="8">
        <v>923</v>
      </c>
      <c r="N281" s="7">
        <v>0</v>
      </c>
      <c r="O281" s="14">
        <f>K281/G281</f>
        <v>2.2579700091715071E-2</v>
      </c>
      <c r="P281" s="15">
        <f>K281/I281</f>
        <v>0.21223620402298851</v>
      </c>
      <c r="Q281" s="7"/>
    </row>
    <row r="282" spans="1:17" x14ac:dyDescent="0.15">
      <c r="A282" s="7">
        <v>281</v>
      </c>
      <c r="B282" s="7">
        <v>4567</v>
      </c>
      <c r="C282" s="8">
        <v>2</v>
      </c>
      <c r="D282" s="9" t="s">
        <v>1471</v>
      </c>
      <c r="E282" s="9" t="s">
        <v>548</v>
      </c>
      <c r="F282" s="10">
        <v>4684</v>
      </c>
      <c r="G282" s="10">
        <f>F282*1000000</f>
        <v>4684000000</v>
      </c>
      <c r="H282" s="10">
        <v>610</v>
      </c>
      <c r="I282" s="10">
        <f>H282*1000000</f>
        <v>610000000</v>
      </c>
      <c r="J282" s="9" t="s">
        <v>549</v>
      </c>
      <c r="K282" s="10">
        <v>134733386</v>
      </c>
      <c r="L282" s="8">
        <v>21100</v>
      </c>
      <c r="M282" s="8">
        <v>1067</v>
      </c>
      <c r="N282" s="7">
        <v>0</v>
      </c>
      <c r="O282" s="14">
        <f>K282/G282</f>
        <v>2.8764599914602902E-2</v>
      </c>
      <c r="P282" s="15">
        <f>K282/I282</f>
        <v>0.22087440327868851</v>
      </c>
      <c r="Q282" s="7"/>
    </row>
    <row r="283" spans="1:17" x14ac:dyDescent="0.15">
      <c r="A283" s="13">
        <v>282</v>
      </c>
      <c r="B283" s="13">
        <v>4548</v>
      </c>
      <c r="C283" s="16">
        <v>15</v>
      </c>
      <c r="D283" s="17" t="s">
        <v>1484</v>
      </c>
      <c r="E283" s="17" t="s">
        <v>550</v>
      </c>
      <c r="F283" s="12">
        <v>4175</v>
      </c>
      <c r="G283" s="12">
        <f>F283*1000000</f>
        <v>4175000000</v>
      </c>
      <c r="H283" s="12">
        <v>472</v>
      </c>
      <c r="I283" s="12">
        <f>H283*1000000</f>
        <v>472000000</v>
      </c>
      <c r="J283" s="17" t="s">
        <v>551</v>
      </c>
      <c r="K283" s="12">
        <v>105000000</v>
      </c>
      <c r="L283" s="4">
        <v>81678</v>
      </c>
      <c r="M283" s="4">
        <v>435</v>
      </c>
      <c r="N283" s="13">
        <v>1</v>
      </c>
      <c r="O283" s="18">
        <f>K283/G283</f>
        <v>2.5149700598802394E-2</v>
      </c>
      <c r="P283" s="19">
        <f>K283/I283</f>
        <v>0.22245762711864406</v>
      </c>
      <c r="Q283" s="13"/>
    </row>
    <row r="284" spans="1:17" x14ac:dyDescent="0.15">
      <c r="A284" s="22">
        <v>283</v>
      </c>
      <c r="B284" s="22">
        <v>4545</v>
      </c>
      <c r="C284" s="23">
        <v>12</v>
      </c>
      <c r="D284" s="24" t="s">
        <v>1481</v>
      </c>
      <c r="E284" s="24" t="s">
        <v>552</v>
      </c>
      <c r="F284" s="25">
        <v>2706</v>
      </c>
      <c r="G284" s="25">
        <f>F284*1000000</f>
        <v>2706000000</v>
      </c>
      <c r="H284" s="22" t="s">
        <v>63</v>
      </c>
      <c r="I284" s="25" t="e">
        <f>H284*1000000</f>
        <v>#VALUE!</v>
      </c>
      <c r="J284" s="24" t="s">
        <v>553</v>
      </c>
      <c r="K284" s="25">
        <v>34164349</v>
      </c>
      <c r="L284" s="23">
        <v>14000</v>
      </c>
      <c r="M284" s="23">
        <v>150</v>
      </c>
      <c r="N284" s="22">
        <v>0</v>
      </c>
      <c r="O284" s="26">
        <f>K284/G284</f>
        <v>1.262540613451589E-2</v>
      </c>
      <c r="P284" s="27" t="e">
        <f>K284/I284</f>
        <v>#VALUE!</v>
      </c>
      <c r="Q284" s="22" t="b">
        <v>1</v>
      </c>
    </row>
    <row r="285" spans="1:17" x14ac:dyDescent="0.15">
      <c r="A285" s="22">
        <v>284</v>
      </c>
      <c r="B285" s="22">
        <v>4539</v>
      </c>
      <c r="C285" s="23">
        <v>1</v>
      </c>
      <c r="D285" s="24" t="s">
        <v>1470</v>
      </c>
      <c r="E285" s="24" t="s">
        <v>554</v>
      </c>
      <c r="F285" s="25">
        <v>1340</v>
      </c>
      <c r="G285" s="25">
        <f>F285*1000000</f>
        <v>1340000000</v>
      </c>
      <c r="H285" s="22" t="s">
        <v>63</v>
      </c>
      <c r="I285" s="25" t="e">
        <f>H285*1000000</f>
        <v>#VALUE!</v>
      </c>
      <c r="J285" s="24" t="s">
        <v>555</v>
      </c>
      <c r="K285" s="25">
        <v>24402965</v>
      </c>
      <c r="L285" s="23">
        <v>15000</v>
      </c>
      <c r="M285" s="23">
        <v>184</v>
      </c>
      <c r="N285" s="22">
        <v>0</v>
      </c>
      <c r="O285" s="26">
        <f>K285/G285</f>
        <v>1.8211167910447763E-2</v>
      </c>
      <c r="P285" s="27" t="e">
        <f>K285/I285</f>
        <v>#VALUE!</v>
      </c>
      <c r="Q285" s="22" t="b">
        <v>1</v>
      </c>
    </row>
    <row r="286" spans="1:17" x14ac:dyDescent="0.15">
      <c r="A286" s="13">
        <v>285</v>
      </c>
      <c r="B286" s="13">
        <v>4537</v>
      </c>
      <c r="C286" s="16">
        <v>6</v>
      </c>
      <c r="D286" s="17" t="s">
        <v>1475</v>
      </c>
      <c r="E286" s="17" t="s">
        <v>556</v>
      </c>
      <c r="F286" s="12">
        <v>11521</v>
      </c>
      <c r="G286" s="12">
        <f>F286*1000000</f>
        <v>11521000000</v>
      </c>
      <c r="H286" s="12">
        <v>2588</v>
      </c>
      <c r="I286" s="12">
        <f>H286*1000000</f>
        <v>2588000000</v>
      </c>
      <c r="J286" s="17" t="s">
        <v>557</v>
      </c>
      <c r="K286" s="12">
        <v>500000000</v>
      </c>
      <c r="L286" s="4">
        <v>30000</v>
      </c>
      <c r="M286" s="4">
        <v>2000</v>
      </c>
      <c r="N286" s="13">
        <v>1</v>
      </c>
      <c r="O286" s="18">
        <f>K286/G286</f>
        <v>4.3399010502560544E-2</v>
      </c>
      <c r="P286" s="19">
        <f>K286/I286</f>
        <v>0.19319938176197837</v>
      </c>
      <c r="Q286" s="13"/>
    </row>
    <row r="287" spans="1:17" x14ac:dyDescent="0.15">
      <c r="A287" s="13">
        <v>286</v>
      </c>
      <c r="B287" s="13">
        <v>4526</v>
      </c>
      <c r="C287" s="16">
        <v>19</v>
      </c>
      <c r="D287" s="17" t="s">
        <v>1488</v>
      </c>
      <c r="E287" s="17" t="s">
        <v>558</v>
      </c>
      <c r="F287" s="12">
        <v>4572</v>
      </c>
      <c r="G287" s="12">
        <f>F287*1000000</f>
        <v>4572000000</v>
      </c>
      <c r="H287" s="12">
        <v>20</v>
      </c>
      <c r="I287" s="12">
        <f>H287*1000000</f>
        <v>20000000</v>
      </c>
      <c r="J287" s="17" t="s">
        <v>559</v>
      </c>
      <c r="K287" s="12">
        <v>190000000</v>
      </c>
      <c r="L287" s="4">
        <v>57000</v>
      </c>
      <c r="M287" s="4">
        <v>1100</v>
      </c>
      <c r="N287" s="13">
        <v>1</v>
      </c>
      <c r="O287" s="18">
        <f>K287/G287</f>
        <v>4.1557305336832898E-2</v>
      </c>
      <c r="P287" s="19">
        <f>K287/I287</f>
        <v>9.5</v>
      </c>
      <c r="Q287" s="13"/>
    </row>
    <row r="288" spans="1:17" x14ac:dyDescent="0.15">
      <c r="A288" s="13">
        <v>287</v>
      </c>
      <c r="B288" s="13">
        <v>4509</v>
      </c>
      <c r="C288" s="16">
        <v>8</v>
      </c>
      <c r="D288" s="17" t="s">
        <v>1477</v>
      </c>
      <c r="E288" s="17" t="s">
        <v>560</v>
      </c>
      <c r="F288" s="12">
        <v>1602</v>
      </c>
      <c r="G288" s="12">
        <f>F288*1000000</f>
        <v>1602000000</v>
      </c>
      <c r="H288" s="12">
        <v>86</v>
      </c>
      <c r="I288" s="12">
        <f>H288*1000000</f>
        <v>86000000</v>
      </c>
      <c r="J288" s="17" t="s">
        <v>561</v>
      </c>
      <c r="K288" s="12">
        <v>120000000</v>
      </c>
      <c r="L288" s="4">
        <v>8530</v>
      </c>
      <c r="M288" s="4">
        <v>895</v>
      </c>
      <c r="N288" s="13">
        <v>1</v>
      </c>
      <c r="O288" s="18">
        <f>K288/G288</f>
        <v>7.4906367041198504E-2</v>
      </c>
      <c r="P288" s="19">
        <f>K288/I288</f>
        <v>1.3953488372093024</v>
      </c>
      <c r="Q288" s="13"/>
    </row>
    <row r="289" spans="1:18" x14ac:dyDescent="0.15">
      <c r="A289" s="13">
        <v>288</v>
      </c>
      <c r="B289" s="13">
        <v>4490</v>
      </c>
      <c r="C289" s="16">
        <v>1</v>
      </c>
      <c r="D289" s="17" t="s">
        <v>1470</v>
      </c>
      <c r="E289" s="17" t="s">
        <v>562</v>
      </c>
      <c r="F289" s="12">
        <v>5337</v>
      </c>
      <c r="G289" s="12">
        <f>F289*1000000</f>
        <v>5337000000</v>
      </c>
      <c r="H289" s="12">
        <v>53</v>
      </c>
      <c r="I289" s="12">
        <f>H289*1000000</f>
        <v>53000000</v>
      </c>
      <c r="J289" s="17" t="s">
        <v>563</v>
      </c>
      <c r="K289" s="12">
        <v>92000000</v>
      </c>
      <c r="L289" s="4">
        <v>13612</v>
      </c>
      <c r="M289" s="4">
        <v>500</v>
      </c>
      <c r="N289" s="13">
        <v>1</v>
      </c>
      <c r="O289" s="18">
        <f>K289/G289</f>
        <v>1.7238148772718755E-2</v>
      </c>
      <c r="P289" s="19">
        <f>K289/I289</f>
        <v>1.7358490566037736</v>
      </c>
      <c r="Q289" s="13"/>
    </row>
    <row r="290" spans="1:18" x14ac:dyDescent="0.15">
      <c r="A290" s="22">
        <v>289</v>
      </c>
      <c r="B290" s="22">
        <v>4490</v>
      </c>
      <c r="C290" s="23">
        <v>2</v>
      </c>
      <c r="D290" s="24" t="s">
        <v>1471</v>
      </c>
      <c r="E290" s="24" t="s">
        <v>564</v>
      </c>
      <c r="F290" s="25">
        <v>3461</v>
      </c>
      <c r="G290" s="25">
        <f>F290*1000000</f>
        <v>3461000000</v>
      </c>
      <c r="H290" s="25">
        <v>547</v>
      </c>
      <c r="I290" s="25">
        <f>H290*1000000</f>
        <v>547000000</v>
      </c>
      <c r="J290" s="24" t="s">
        <v>565</v>
      </c>
      <c r="K290" s="25">
        <v>169169651</v>
      </c>
      <c r="L290" s="23">
        <v>17836</v>
      </c>
      <c r="M290" s="23">
        <v>779</v>
      </c>
      <c r="N290" s="22">
        <v>0</v>
      </c>
      <c r="O290" s="26">
        <f>K290/G290</f>
        <v>4.88788358855822E-2</v>
      </c>
      <c r="P290" s="27">
        <f>K290/I290</f>
        <v>0.30926810054844606</v>
      </c>
      <c r="Q290" s="22" t="b">
        <v>1</v>
      </c>
    </row>
    <row r="291" spans="1:18" x14ac:dyDescent="0.15">
      <c r="A291" s="13">
        <v>290</v>
      </c>
      <c r="B291" s="13">
        <v>4462</v>
      </c>
      <c r="C291" s="16">
        <v>9</v>
      </c>
      <c r="D291" s="17" t="s">
        <v>1478</v>
      </c>
      <c r="E291" s="17" t="s">
        <v>566</v>
      </c>
      <c r="F291" s="12">
        <v>5626</v>
      </c>
      <c r="G291" s="12">
        <f>F291*1000000</f>
        <v>5626000000</v>
      </c>
      <c r="H291" s="12">
        <v>-539</v>
      </c>
      <c r="I291" s="12">
        <f>H291*1000000</f>
        <v>-539000000</v>
      </c>
      <c r="J291" s="17" t="s">
        <v>567</v>
      </c>
      <c r="K291" s="12">
        <v>73500000</v>
      </c>
      <c r="L291" s="4">
        <v>29746</v>
      </c>
      <c r="M291" s="4">
        <v>363</v>
      </c>
      <c r="N291" s="13">
        <v>1</v>
      </c>
      <c r="O291" s="18">
        <f>K291/G291</f>
        <v>1.3064344116601493E-2</v>
      </c>
      <c r="P291" s="19">
        <f>K291/I291</f>
        <v>-0.13636363636363635</v>
      </c>
      <c r="Q291" s="13"/>
    </row>
    <row r="292" spans="1:18" x14ac:dyDescent="0.15">
      <c r="A292" s="22">
        <v>291</v>
      </c>
      <c r="B292" s="22">
        <v>4459</v>
      </c>
      <c r="C292" s="23">
        <v>3</v>
      </c>
      <c r="D292" s="24" t="s">
        <v>1472</v>
      </c>
      <c r="E292" s="24" t="s">
        <v>568</v>
      </c>
      <c r="F292" s="25">
        <v>1010</v>
      </c>
      <c r="G292" s="25">
        <f>F292*1000000</f>
        <v>1010000000</v>
      </c>
      <c r="H292" s="25">
        <v>49</v>
      </c>
      <c r="I292" s="25">
        <f>H292*1000000</f>
        <v>49000000</v>
      </c>
      <c r="J292" s="24" t="s">
        <v>569</v>
      </c>
      <c r="K292" s="25">
        <v>16979773</v>
      </c>
      <c r="L292" s="23">
        <v>618</v>
      </c>
      <c r="M292" s="23">
        <v>37</v>
      </c>
      <c r="N292" s="22">
        <v>0</v>
      </c>
      <c r="O292" s="26">
        <f>K292/G292</f>
        <v>1.6811656435643564E-2</v>
      </c>
      <c r="P292" s="27">
        <f>K292/I292</f>
        <v>0.34652597959183673</v>
      </c>
      <c r="Q292" s="22" t="b">
        <v>1</v>
      </c>
    </row>
    <row r="293" spans="1:18" x14ac:dyDescent="0.15">
      <c r="A293" s="13">
        <v>292</v>
      </c>
      <c r="B293" s="13">
        <v>4442</v>
      </c>
      <c r="C293" s="16">
        <v>5</v>
      </c>
      <c r="D293" s="17" t="s">
        <v>1474</v>
      </c>
      <c r="E293" s="17" t="s">
        <v>570</v>
      </c>
      <c r="F293" s="12">
        <v>2753</v>
      </c>
      <c r="G293" s="12">
        <f>F293*1000000</f>
        <v>2753000000</v>
      </c>
      <c r="H293" s="12">
        <v>210</v>
      </c>
      <c r="I293" s="12">
        <f>H293*1000000</f>
        <v>210000000</v>
      </c>
      <c r="J293" s="17" t="s">
        <v>571</v>
      </c>
      <c r="K293" s="12">
        <v>50000000</v>
      </c>
      <c r="L293" s="4">
        <v>20000</v>
      </c>
      <c r="M293" s="4">
        <v>200</v>
      </c>
      <c r="N293" s="13">
        <v>1</v>
      </c>
      <c r="O293" s="18">
        <f>K293/G293</f>
        <v>1.8162005085361425E-2</v>
      </c>
      <c r="P293" s="19">
        <f>K293/I293</f>
        <v>0.23809523809523808</v>
      </c>
      <c r="Q293" s="13"/>
      <c r="R293" s="13"/>
    </row>
    <row r="294" spans="1:18" x14ac:dyDescent="0.15">
      <c r="A294" s="13">
        <v>293</v>
      </c>
      <c r="B294" s="13">
        <v>4415</v>
      </c>
      <c r="C294" s="16">
        <v>5</v>
      </c>
      <c r="D294" s="17" t="s">
        <v>1474</v>
      </c>
      <c r="E294" s="17" t="s">
        <v>572</v>
      </c>
      <c r="F294" s="12">
        <v>5892</v>
      </c>
      <c r="G294" s="12">
        <f>F294*1000000</f>
        <v>5892000000</v>
      </c>
      <c r="H294" s="13" t="s">
        <v>63</v>
      </c>
      <c r="I294" s="12" t="e">
        <f>H294*1000000</f>
        <v>#VALUE!</v>
      </c>
      <c r="J294" s="17" t="s">
        <v>573</v>
      </c>
      <c r="K294" s="12">
        <v>175000000</v>
      </c>
      <c r="L294" s="4">
        <v>36000</v>
      </c>
      <c r="M294" s="4">
        <v>942</v>
      </c>
      <c r="N294" s="13">
        <v>1</v>
      </c>
      <c r="O294" s="18">
        <f>K294/G294</f>
        <v>2.9701289884589272E-2</v>
      </c>
      <c r="P294" s="19" t="e">
        <f>K294/I294</f>
        <v>#VALUE!</v>
      </c>
      <c r="Q294" s="13"/>
    </row>
    <row r="295" spans="1:18" x14ac:dyDescent="0.15">
      <c r="A295" s="22">
        <v>294</v>
      </c>
      <c r="B295" s="22">
        <v>4400</v>
      </c>
      <c r="C295" s="23">
        <v>11</v>
      </c>
      <c r="D295" s="24" t="s">
        <v>1480</v>
      </c>
      <c r="E295" s="24" t="s">
        <v>574</v>
      </c>
      <c r="F295" s="25">
        <v>2103</v>
      </c>
      <c r="G295" s="25">
        <f>F295*1000000</f>
        <v>2103000000</v>
      </c>
      <c r="H295" s="25">
        <v>2</v>
      </c>
      <c r="I295" s="25">
        <f>H295*1000000</f>
        <v>2000000</v>
      </c>
      <c r="J295" s="24" t="s">
        <v>575</v>
      </c>
      <c r="K295" s="25">
        <v>39296934</v>
      </c>
      <c r="L295" s="23">
        <v>60350</v>
      </c>
      <c r="M295" s="23">
        <v>328</v>
      </c>
      <c r="N295" s="22">
        <v>0</v>
      </c>
      <c r="O295" s="26">
        <f>K295/G295</f>
        <v>1.8686131241084165E-2</v>
      </c>
      <c r="P295" s="27">
        <f>K295/I295</f>
        <v>19.648467</v>
      </c>
      <c r="Q295" s="22" t="b">
        <v>1</v>
      </c>
    </row>
    <row r="296" spans="1:18" x14ac:dyDescent="0.15">
      <c r="A296" s="13">
        <v>295</v>
      </c>
      <c r="B296" s="13">
        <v>4396</v>
      </c>
      <c r="C296" s="16">
        <v>10</v>
      </c>
      <c r="D296" s="17" t="s">
        <v>1479</v>
      </c>
      <c r="E296" s="17" t="s">
        <v>576</v>
      </c>
      <c r="F296" s="12">
        <v>2578</v>
      </c>
      <c r="G296" s="12">
        <f>F296*1000000</f>
        <v>2578000000</v>
      </c>
      <c r="H296" s="12">
        <v>227</v>
      </c>
      <c r="I296" s="12">
        <f>H296*1000000</f>
        <v>227000000</v>
      </c>
      <c r="J296" s="17" t="s">
        <v>577</v>
      </c>
      <c r="K296" s="12">
        <v>58800000</v>
      </c>
      <c r="L296" s="4">
        <v>18600</v>
      </c>
      <c r="M296" s="4">
        <v>465</v>
      </c>
      <c r="N296" s="13">
        <v>1</v>
      </c>
      <c r="O296" s="18">
        <f>K296/G296</f>
        <v>2.2808378588052753E-2</v>
      </c>
      <c r="P296" s="19">
        <f>K296/I296</f>
        <v>0.25903083700440527</v>
      </c>
      <c r="Q296" s="13"/>
    </row>
    <row r="297" spans="1:18" x14ac:dyDescent="0.15">
      <c r="A297" s="13">
        <v>296</v>
      </c>
      <c r="B297" s="13">
        <v>4389</v>
      </c>
      <c r="C297" s="16">
        <v>12</v>
      </c>
      <c r="D297" s="17" t="s">
        <v>1481</v>
      </c>
      <c r="E297" s="17" t="s">
        <v>578</v>
      </c>
      <c r="F297" s="12">
        <v>1391</v>
      </c>
      <c r="G297" s="12">
        <f>F297*1000000</f>
        <v>1391000000</v>
      </c>
      <c r="H297" s="12">
        <v>73</v>
      </c>
      <c r="I297" s="12">
        <f>H297*1000000</f>
        <v>73000000</v>
      </c>
      <c r="J297" s="17" t="s">
        <v>579</v>
      </c>
      <c r="K297" s="12">
        <v>19000000</v>
      </c>
      <c r="L297" s="4">
        <v>8100</v>
      </c>
      <c r="M297" s="4">
        <v>100</v>
      </c>
      <c r="N297" s="13">
        <v>1</v>
      </c>
      <c r="O297" s="18">
        <f>K297/G297</f>
        <v>1.3659237958303379E-2</v>
      </c>
      <c r="P297" s="19">
        <f>K297/I297</f>
        <v>0.26027397260273971</v>
      </c>
      <c r="Q297" s="13"/>
    </row>
    <row r="298" spans="1:18" x14ac:dyDescent="0.15">
      <c r="A298" s="22">
        <v>297</v>
      </c>
      <c r="B298" s="22">
        <v>4385</v>
      </c>
      <c r="C298" s="23">
        <v>6</v>
      </c>
      <c r="D298" s="24" t="s">
        <v>1475</v>
      </c>
      <c r="E298" s="24" t="s">
        <v>580</v>
      </c>
      <c r="F298" s="25">
        <v>2028</v>
      </c>
      <c r="G298" s="25">
        <f>F298*1000000</f>
        <v>2028000000</v>
      </c>
      <c r="H298" s="25">
        <v>96</v>
      </c>
      <c r="I298" s="25">
        <f>H298*1000000</f>
        <v>96000000</v>
      </c>
      <c r="J298" s="24" t="s">
        <v>581</v>
      </c>
      <c r="K298" s="25">
        <v>54156346</v>
      </c>
      <c r="L298" s="23" t="s">
        <v>63</v>
      </c>
      <c r="M298" s="23">
        <v>257</v>
      </c>
      <c r="N298" s="22">
        <v>0</v>
      </c>
      <c r="O298" s="26">
        <f>K298/G298</f>
        <v>2.6704312623274162E-2</v>
      </c>
      <c r="P298" s="27">
        <f>K298/I298</f>
        <v>0.56412860416666666</v>
      </c>
      <c r="Q298" s="22" t="b">
        <v>1</v>
      </c>
    </row>
    <row r="299" spans="1:18" x14ac:dyDescent="0.15">
      <c r="A299" s="13">
        <v>298</v>
      </c>
      <c r="B299" s="13">
        <v>4383</v>
      </c>
      <c r="C299" s="16">
        <v>12</v>
      </c>
      <c r="D299" s="17" t="s">
        <v>1481</v>
      </c>
      <c r="E299" s="17" t="s">
        <v>582</v>
      </c>
      <c r="F299" s="12">
        <v>1466</v>
      </c>
      <c r="G299" s="12">
        <f>F299*1000000</f>
        <v>1466000000</v>
      </c>
      <c r="H299" s="12">
        <v>87</v>
      </c>
      <c r="I299" s="12">
        <f>H299*1000000</f>
        <v>87000000</v>
      </c>
      <c r="J299" s="17" t="s">
        <v>583</v>
      </c>
      <c r="K299" s="12">
        <v>10000000</v>
      </c>
      <c r="L299" s="4">
        <v>15000</v>
      </c>
      <c r="M299" s="4">
        <v>200</v>
      </c>
      <c r="N299" s="13">
        <v>1</v>
      </c>
      <c r="O299" s="18">
        <f>K299/G299</f>
        <v>6.8212824010914054E-3</v>
      </c>
      <c r="P299" s="19">
        <f>K299/I299</f>
        <v>0.11494252873563218</v>
      </c>
      <c r="Q299" s="13"/>
    </row>
    <row r="300" spans="1:18" x14ac:dyDescent="0.15">
      <c r="A300" s="13">
        <v>299</v>
      </c>
      <c r="B300" s="13">
        <v>4379</v>
      </c>
      <c r="C300" s="16">
        <v>19</v>
      </c>
      <c r="D300" s="17" t="s">
        <v>1488</v>
      </c>
      <c r="E300" s="17" t="s">
        <v>584</v>
      </c>
      <c r="F300" s="12">
        <v>9608</v>
      </c>
      <c r="G300" s="12">
        <f>F300*1000000</f>
        <v>9608000000</v>
      </c>
      <c r="H300" s="12">
        <v>652</v>
      </c>
      <c r="I300" s="12">
        <f>H300*1000000</f>
        <v>652000000</v>
      </c>
      <c r="J300" s="17" t="s">
        <v>585</v>
      </c>
      <c r="K300" s="12">
        <v>141000000</v>
      </c>
      <c r="L300" s="4">
        <v>29000</v>
      </c>
      <c r="M300" s="4">
        <v>750</v>
      </c>
      <c r="N300" s="13">
        <v>1</v>
      </c>
      <c r="O300" s="18">
        <f>K300/G300</f>
        <v>1.467527060782681E-2</v>
      </c>
      <c r="P300" s="19">
        <f>K300/I300</f>
        <v>0.21625766871165644</v>
      </c>
      <c r="Q300" s="13"/>
    </row>
    <row r="301" spans="1:18" x14ac:dyDescent="0.15">
      <c r="A301" s="22">
        <v>300</v>
      </c>
      <c r="B301" s="22">
        <v>4366</v>
      </c>
      <c r="C301" s="23">
        <v>3</v>
      </c>
      <c r="D301" s="24" t="s">
        <v>1472</v>
      </c>
      <c r="E301" s="24" t="s">
        <v>586</v>
      </c>
      <c r="F301" s="25">
        <v>2878</v>
      </c>
      <c r="G301" s="25">
        <f>F301*1000000</f>
        <v>2878000000</v>
      </c>
      <c r="H301" s="25">
        <v>227</v>
      </c>
      <c r="I301" s="25">
        <f>H301*1000000</f>
        <v>227000000</v>
      </c>
      <c r="J301" s="24" t="s">
        <v>587</v>
      </c>
      <c r="K301" s="25">
        <v>48383947</v>
      </c>
      <c r="L301" s="23">
        <v>13100</v>
      </c>
      <c r="M301" s="23">
        <v>105</v>
      </c>
      <c r="N301" s="22">
        <v>0</v>
      </c>
      <c r="O301" s="26">
        <f>K301/G301</f>
        <v>1.6811656358582349E-2</v>
      </c>
      <c r="P301" s="27">
        <f>K301/I301</f>
        <v>0.21314514096916298</v>
      </c>
      <c r="Q301" s="22" t="b">
        <v>1</v>
      </c>
    </row>
    <row r="302" spans="1:18" x14ac:dyDescent="0.15">
      <c r="A302" s="22">
        <v>301</v>
      </c>
      <c r="B302" s="22">
        <v>4332</v>
      </c>
      <c r="C302" s="23">
        <v>9</v>
      </c>
      <c r="D302" s="24" t="s">
        <v>1478</v>
      </c>
      <c r="E302" s="24" t="s">
        <v>588</v>
      </c>
      <c r="F302" s="25">
        <v>773</v>
      </c>
      <c r="G302" s="25">
        <f>F302*1000000</f>
        <v>773000000</v>
      </c>
      <c r="H302" s="22" t="s">
        <v>63</v>
      </c>
      <c r="I302" s="25" t="e">
        <f>H302*1000000</f>
        <v>#VALUE!</v>
      </c>
      <c r="J302" s="24" t="s">
        <v>589</v>
      </c>
      <c r="K302" s="25">
        <v>9187892</v>
      </c>
      <c r="L302" s="23">
        <v>19200</v>
      </c>
      <c r="M302" s="23">
        <v>73</v>
      </c>
      <c r="N302" s="22">
        <v>0</v>
      </c>
      <c r="O302" s="26">
        <f>K302/G302</f>
        <v>1.1886018111254851E-2</v>
      </c>
      <c r="P302" s="27" t="e">
        <f>K302/I302</f>
        <v>#VALUE!</v>
      </c>
      <c r="Q302" s="22" t="b">
        <v>1</v>
      </c>
      <c r="R302" s="13"/>
    </row>
    <row r="303" spans="1:18" x14ac:dyDescent="0.15">
      <c r="A303" s="22">
        <v>302</v>
      </c>
      <c r="B303" s="22">
        <v>4320</v>
      </c>
      <c r="C303" s="23">
        <v>5</v>
      </c>
      <c r="D303" s="24" t="s">
        <v>1474</v>
      </c>
      <c r="E303" s="24" t="s">
        <v>590</v>
      </c>
      <c r="F303" s="25">
        <v>2748</v>
      </c>
      <c r="G303" s="25">
        <f>F303*1000000</f>
        <v>2748000000</v>
      </c>
      <c r="H303" s="22" t="s">
        <v>63</v>
      </c>
      <c r="I303" s="25" t="e">
        <f>H303*1000000</f>
        <v>#VALUE!</v>
      </c>
      <c r="J303" s="24" t="s">
        <v>88</v>
      </c>
      <c r="K303" s="25">
        <v>51564839</v>
      </c>
      <c r="L303" s="23">
        <v>23500</v>
      </c>
      <c r="M303" s="23">
        <v>233</v>
      </c>
      <c r="N303" s="22">
        <v>0</v>
      </c>
      <c r="O303" s="26">
        <f>K303/G303</f>
        <v>1.8764497452692867E-2</v>
      </c>
      <c r="P303" s="27" t="e">
        <f>K303/I303</f>
        <v>#VALUE!</v>
      </c>
      <c r="Q303" s="22" t="b">
        <v>1</v>
      </c>
    </row>
    <row r="304" spans="1:18" x14ac:dyDescent="0.15">
      <c r="A304" s="13">
        <v>303</v>
      </c>
      <c r="B304" s="13">
        <v>4307</v>
      </c>
      <c r="C304" s="16">
        <v>2</v>
      </c>
      <c r="D304" s="17" t="s">
        <v>1471</v>
      </c>
      <c r="E304" s="17" t="s">
        <v>591</v>
      </c>
      <c r="F304" s="12">
        <v>980</v>
      </c>
      <c r="G304" s="12">
        <f>F304*1000000</f>
        <v>980000000</v>
      </c>
      <c r="H304" s="12">
        <v>140</v>
      </c>
      <c r="I304" s="12">
        <f>H304*1000000</f>
        <v>140000000</v>
      </c>
      <c r="J304" s="17" t="s">
        <v>592</v>
      </c>
      <c r="K304" s="12">
        <v>46000000</v>
      </c>
      <c r="L304" s="4">
        <v>7400</v>
      </c>
      <c r="M304" s="4">
        <v>360</v>
      </c>
      <c r="N304" s="13">
        <v>1</v>
      </c>
      <c r="O304" s="18">
        <f>K304/G304</f>
        <v>4.6938775510204082E-2</v>
      </c>
      <c r="P304" s="19">
        <f>K304/I304</f>
        <v>0.32857142857142857</v>
      </c>
      <c r="Q304" s="13"/>
    </row>
    <row r="305" spans="1:18" x14ac:dyDescent="0.15">
      <c r="A305" s="22">
        <v>304</v>
      </c>
      <c r="B305" s="22">
        <v>4306</v>
      </c>
      <c r="C305" s="23">
        <v>20</v>
      </c>
      <c r="D305" s="24" t="s">
        <v>1489</v>
      </c>
      <c r="E305" s="24" t="s">
        <v>593</v>
      </c>
      <c r="F305" s="25">
        <v>4279</v>
      </c>
      <c r="G305" s="25">
        <f>F305*1000000</f>
        <v>4279000000</v>
      </c>
      <c r="H305" s="25">
        <v>639</v>
      </c>
      <c r="I305" s="25">
        <f>H305*1000000</f>
        <v>639000000</v>
      </c>
      <c r="J305" s="24" t="s">
        <v>594</v>
      </c>
      <c r="K305" s="25">
        <v>95933468</v>
      </c>
      <c r="L305" s="23">
        <v>18274</v>
      </c>
      <c r="M305" s="23">
        <v>527</v>
      </c>
      <c r="N305" s="22">
        <v>0</v>
      </c>
      <c r="O305" s="26">
        <f>K305/G305</f>
        <v>2.2419599906520215E-2</v>
      </c>
      <c r="P305" s="27">
        <f>K305/I305</f>
        <v>0.15013062284820031</v>
      </c>
      <c r="Q305" s="22" t="b">
        <v>1</v>
      </c>
    </row>
    <row r="306" spans="1:18" x14ac:dyDescent="0.15">
      <c r="A306" s="22">
        <v>305</v>
      </c>
      <c r="B306" s="22">
        <v>4305</v>
      </c>
      <c r="C306" s="23">
        <v>5</v>
      </c>
      <c r="D306" s="24" t="s">
        <v>1474</v>
      </c>
      <c r="E306" s="24" t="s">
        <v>595</v>
      </c>
      <c r="F306" s="25">
        <v>7588</v>
      </c>
      <c r="G306" s="25">
        <f>F306*1000000</f>
        <v>7588000000</v>
      </c>
      <c r="H306" s="25">
        <v>580</v>
      </c>
      <c r="I306" s="25">
        <f>H306*1000000</f>
        <v>580000000</v>
      </c>
      <c r="J306" s="24" t="s">
        <v>596</v>
      </c>
      <c r="K306" s="25">
        <v>142385006</v>
      </c>
      <c r="L306" s="23">
        <v>3000</v>
      </c>
      <c r="M306" s="23">
        <v>150</v>
      </c>
      <c r="N306" s="22">
        <v>0</v>
      </c>
      <c r="O306" s="26">
        <f>K306/G306</f>
        <v>1.8764497364259357E-2</v>
      </c>
      <c r="P306" s="27">
        <f>K306/I306</f>
        <v>0.24549138965517242</v>
      </c>
      <c r="Q306" s="22" t="b">
        <v>1</v>
      </c>
    </row>
    <row r="307" spans="1:18" x14ac:dyDescent="0.15">
      <c r="A307" s="28">
        <v>306</v>
      </c>
      <c r="B307" s="28">
        <v>4293</v>
      </c>
      <c r="C307" s="29">
        <v>12</v>
      </c>
      <c r="D307" s="30" t="s">
        <v>1481</v>
      </c>
      <c r="E307" s="30" t="s">
        <v>597</v>
      </c>
      <c r="F307" s="31">
        <v>3451</v>
      </c>
      <c r="G307" s="31">
        <f>F307*1000000</f>
        <v>3451000000</v>
      </c>
      <c r="H307" s="31">
        <v>226</v>
      </c>
      <c r="I307" s="31">
        <f>H307*1000000</f>
        <v>226000000</v>
      </c>
      <c r="J307" s="30" t="s">
        <v>598</v>
      </c>
      <c r="K307" s="28" t="e">
        <v>#N/A</v>
      </c>
      <c r="L307" s="29">
        <v>24000</v>
      </c>
      <c r="M307" s="29" t="s">
        <v>63</v>
      </c>
      <c r="N307" s="28">
        <v>1</v>
      </c>
      <c r="O307" s="32" t="e">
        <f>K307/G307</f>
        <v>#N/A</v>
      </c>
      <c r="P307" s="33" t="e">
        <f>K307/I307</f>
        <v>#N/A</v>
      </c>
      <c r="Q307" s="28"/>
      <c r="R307" s="28" t="b">
        <v>1</v>
      </c>
    </row>
    <row r="308" spans="1:18" x14ac:dyDescent="0.15">
      <c r="A308" s="13">
        <v>307</v>
      </c>
      <c r="B308" s="13">
        <v>4289</v>
      </c>
      <c r="C308" s="16">
        <v>12</v>
      </c>
      <c r="D308" s="17" t="s">
        <v>1481</v>
      </c>
      <c r="E308" s="17" t="s">
        <v>599</v>
      </c>
      <c r="F308" s="12">
        <v>1401</v>
      </c>
      <c r="G308" s="12">
        <f>F308*1000000</f>
        <v>1401000000</v>
      </c>
      <c r="H308" s="13" t="s">
        <v>63</v>
      </c>
      <c r="I308" s="12" t="e">
        <f>H308*1000000</f>
        <v>#VALUE!</v>
      </c>
      <c r="J308" s="17" t="s">
        <v>600</v>
      </c>
      <c r="K308" s="12">
        <v>6000000</v>
      </c>
      <c r="L308" s="4">
        <v>14000</v>
      </c>
      <c r="M308" s="4">
        <v>50</v>
      </c>
      <c r="N308" s="13">
        <v>1</v>
      </c>
      <c r="O308" s="18">
        <f>K308/G308</f>
        <v>4.2826552462526769E-3</v>
      </c>
      <c r="P308" s="19" t="e">
        <f>K308/I308</f>
        <v>#VALUE!</v>
      </c>
      <c r="Q308" s="13"/>
    </row>
    <row r="309" spans="1:18" x14ac:dyDescent="0.15">
      <c r="A309" s="22">
        <v>308</v>
      </c>
      <c r="B309" s="22">
        <v>4286</v>
      </c>
      <c r="C309" s="23">
        <v>13</v>
      </c>
      <c r="D309" s="24" t="s">
        <v>1482</v>
      </c>
      <c r="E309" s="24" t="s">
        <v>601</v>
      </c>
      <c r="F309" s="25">
        <v>494</v>
      </c>
      <c r="G309" s="25">
        <f>F309*1000000</f>
        <v>494000000</v>
      </c>
      <c r="H309" s="22" t="s">
        <v>63</v>
      </c>
      <c r="I309" s="25" t="e">
        <f>H309*1000000</f>
        <v>#VALUE!</v>
      </c>
      <c r="J309" s="24" t="s">
        <v>88</v>
      </c>
      <c r="K309" s="25">
        <v>6803908</v>
      </c>
      <c r="L309" s="23" t="s">
        <v>63</v>
      </c>
      <c r="M309" s="23">
        <v>39</v>
      </c>
      <c r="N309" s="22">
        <v>0</v>
      </c>
      <c r="O309" s="26">
        <f>K309/G309</f>
        <v>1.3773093117408907E-2</v>
      </c>
      <c r="P309" s="27" t="e">
        <f>K309/I309</f>
        <v>#VALUE!</v>
      </c>
      <c r="Q309" s="22" t="b">
        <v>1</v>
      </c>
    </row>
    <row r="310" spans="1:18" x14ac:dyDescent="0.15">
      <c r="A310" s="22">
        <v>309</v>
      </c>
      <c r="B310" s="22">
        <v>4273</v>
      </c>
      <c r="C310" s="23">
        <v>19</v>
      </c>
      <c r="D310" s="24" t="s">
        <v>1488</v>
      </c>
      <c r="E310" s="24" t="s">
        <v>602</v>
      </c>
      <c r="F310" s="25">
        <v>2135</v>
      </c>
      <c r="G310" s="25">
        <f>F310*1000000</f>
        <v>2135000000</v>
      </c>
      <c r="H310" s="25">
        <v>72</v>
      </c>
      <c r="I310" s="25">
        <f>H310*1000000</f>
        <v>72000000</v>
      </c>
      <c r="J310" s="24" t="s">
        <v>603</v>
      </c>
      <c r="K310" s="25">
        <v>58687776</v>
      </c>
      <c r="L310" s="23">
        <v>4930</v>
      </c>
      <c r="M310" s="23">
        <v>39</v>
      </c>
      <c r="N310" s="22">
        <v>0</v>
      </c>
      <c r="O310" s="26">
        <f>K310/G310</f>
        <v>2.7488419672131146E-2</v>
      </c>
      <c r="P310" s="27">
        <f>K310/I310</f>
        <v>0.81510800000000005</v>
      </c>
      <c r="Q310" s="22" t="b">
        <v>1</v>
      </c>
    </row>
    <row r="311" spans="1:18" x14ac:dyDescent="0.15">
      <c r="A311" s="13">
        <v>310</v>
      </c>
      <c r="B311" s="13">
        <v>4265</v>
      </c>
      <c r="C311" s="16">
        <v>12</v>
      </c>
      <c r="D311" s="17" t="s">
        <v>1481</v>
      </c>
      <c r="E311" s="17" t="s">
        <v>604</v>
      </c>
      <c r="F311" s="12">
        <v>1253</v>
      </c>
      <c r="G311" s="12">
        <f>F311*1000000</f>
        <v>1253000000</v>
      </c>
      <c r="H311" s="12">
        <v>98</v>
      </c>
      <c r="I311" s="12">
        <f>H311*1000000</f>
        <v>98000000</v>
      </c>
      <c r="J311" s="17" t="s">
        <v>605</v>
      </c>
      <c r="K311" s="12">
        <v>10000000</v>
      </c>
      <c r="L311" s="4">
        <v>6320</v>
      </c>
      <c r="M311" s="4">
        <v>75</v>
      </c>
      <c r="N311" s="13">
        <v>1</v>
      </c>
      <c r="O311" s="18">
        <f>K311/G311</f>
        <v>7.9808459696727851E-3</v>
      </c>
      <c r="P311" s="19">
        <f>K311/I311</f>
        <v>0.10204081632653061</v>
      </c>
      <c r="Q311" s="13"/>
    </row>
    <row r="312" spans="1:18" x14ac:dyDescent="0.15">
      <c r="A312" s="13">
        <v>311</v>
      </c>
      <c r="B312" s="13">
        <v>4252</v>
      </c>
      <c r="C312" s="16">
        <v>12</v>
      </c>
      <c r="D312" s="17" t="s">
        <v>1481</v>
      </c>
      <c r="E312" s="17" t="s">
        <v>606</v>
      </c>
      <c r="F312" s="12">
        <v>2040</v>
      </c>
      <c r="G312" s="12">
        <f>F312*1000000</f>
        <v>2040000000</v>
      </c>
      <c r="H312" s="12">
        <v>-17</v>
      </c>
      <c r="I312" s="12">
        <f>H312*1000000</f>
        <v>-17000000</v>
      </c>
      <c r="J312" s="17" t="s">
        <v>607</v>
      </c>
      <c r="K312" s="12">
        <v>12000000</v>
      </c>
      <c r="L312" s="4">
        <v>16000</v>
      </c>
      <c r="M312" s="4">
        <v>176</v>
      </c>
      <c r="N312" s="13">
        <v>1</v>
      </c>
      <c r="O312" s="18">
        <f>K312/G312</f>
        <v>5.8823529411764705E-3</v>
      </c>
      <c r="P312" s="19">
        <f>K312/I312</f>
        <v>-0.70588235294117652</v>
      </c>
      <c r="Q312" s="13"/>
    </row>
    <row r="313" spans="1:18" x14ac:dyDescent="0.15">
      <c r="A313" s="22">
        <v>312</v>
      </c>
      <c r="B313" s="22">
        <v>4225</v>
      </c>
      <c r="C313" s="23">
        <v>12</v>
      </c>
      <c r="D313" s="24" t="s">
        <v>1481</v>
      </c>
      <c r="E313" s="24" t="s">
        <v>608</v>
      </c>
      <c r="F313" s="25">
        <v>1585</v>
      </c>
      <c r="G313" s="25">
        <f>F313*1000000</f>
        <v>1585000000</v>
      </c>
      <c r="H313" s="25">
        <v>103</v>
      </c>
      <c r="I313" s="25">
        <f>H313*1000000</f>
        <v>103000000</v>
      </c>
      <c r="J313" s="24" t="s">
        <v>609</v>
      </c>
      <c r="K313" s="25">
        <v>20011269</v>
      </c>
      <c r="L313" s="23">
        <v>8800</v>
      </c>
      <c r="M313" s="23">
        <v>136</v>
      </c>
      <c r="N313" s="22">
        <v>0</v>
      </c>
      <c r="O313" s="26">
        <f>K313/G313</f>
        <v>1.2625406309148265E-2</v>
      </c>
      <c r="P313" s="27">
        <f>K313/I313</f>
        <v>0.19428416504854368</v>
      </c>
      <c r="Q313" s="22" t="b">
        <v>1</v>
      </c>
    </row>
    <row r="314" spans="1:18" x14ac:dyDescent="0.15">
      <c r="A314" s="13">
        <v>313</v>
      </c>
      <c r="B314" s="13">
        <v>4202</v>
      </c>
      <c r="C314" s="16">
        <v>14</v>
      </c>
      <c r="D314" s="17" t="s">
        <v>1483</v>
      </c>
      <c r="E314" s="17" t="s">
        <v>610</v>
      </c>
      <c r="F314" s="12">
        <v>2300</v>
      </c>
      <c r="G314" s="12">
        <f>F314*1000000</f>
        <v>2300000000</v>
      </c>
      <c r="H314" s="12">
        <v>130</v>
      </c>
      <c r="I314" s="12">
        <f>H314*1000000</f>
        <v>130000000</v>
      </c>
      <c r="J314" s="17" t="s">
        <v>611</v>
      </c>
      <c r="K314" s="12">
        <v>13000000</v>
      </c>
      <c r="L314" s="4">
        <v>22500</v>
      </c>
      <c r="M314" s="4">
        <v>110</v>
      </c>
      <c r="N314" s="13">
        <v>1</v>
      </c>
      <c r="O314" s="18">
        <f>K314/G314</f>
        <v>5.6521739130434784E-3</v>
      </c>
      <c r="P314" s="19">
        <f>K314/I314</f>
        <v>0.1</v>
      </c>
      <c r="Q314" s="13"/>
    </row>
    <row r="315" spans="1:18" x14ac:dyDescent="0.15">
      <c r="A315" s="13">
        <v>314</v>
      </c>
      <c r="B315" s="13">
        <v>4191</v>
      </c>
      <c r="C315" s="16">
        <v>14</v>
      </c>
      <c r="D315" s="17" t="s">
        <v>1483</v>
      </c>
      <c r="E315" s="17" t="s">
        <v>612</v>
      </c>
      <c r="F315" s="12">
        <v>4497</v>
      </c>
      <c r="G315" s="12">
        <f>F315*1000000</f>
        <v>4497000000</v>
      </c>
      <c r="H315" s="12">
        <v>107</v>
      </c>
      <c r="I315" s="12">
        <f>H315*1000000</f>
        <v>107000000</v>
      </c>
      <c r="J315" s="17" t="s">
        <v>613</v>
      </c>
      <c r="K315" s="12">
        <v>50000000</v>
      </c>
      <c r="L315" s="4">
        <v>10100</v>
      </c>
      <c r="M315" s="4">
        <v>340</v>
      </c>
      <c r="N315" s="13">
        <v>1</v>
      </c>
      <c r="O315" s="18">
        <f>K315/G315</f>
        <v>1.11185234600845E-2</v>
      </c>
      <c r="P315" s="19">
        <f>K315/I315</f>
        <v>0.46728971962616822</v>
      </c>
      <c r="Q315" s="13"/>
    </row>
    <row r="316" spans="1:18" x14ac:dyDescent="0.15">
      <c r="A316" s="13">
        <v>315</v>
      </c>
      <c r="B316" s="13">
        <v>4190</v>
      </c>
      <c r="C316" s="16">
        <v>20</v>
      </c>
      <c r="D316" s="17" t="s">
        <v>1489</v>
      </c>
      <c r="E316" s="17" t="s">
        <v>614</v>
      </c>
      <c r="F316" s="12">
        <v>6373</v>
      </c>
      <c r="G316" s="12">
        <f>F316*1000000</f>
        <v>6373000000</v>
      </c>
      <c r="H316" s="12">
        <v>734</v>
      </c>
      <c r="I316" s="12">
        <f>H316*1000000</f>
        <v>734000000</v>
      </c>
      <c r="J316" s="17" t="s">
        <v>615</v>
      </c>
      <c r="K316" s="12">
        <v>62800000</v>
      </c>
      <c r="L316" s="4">
        <v>17100</v>
      </c>
      <c r="M316" s="4">
        <v>550</v>
      </c>
      <c r="N316" s="13">
        <v>1</v>
      </c>
      <c r="O316" s="18">
        <f>K316/G316</f>
        <v>9.8540718656833521E-3</v>
      </c>
      <c r="P316" s="19">
        <f>K316/I316</f>
        <v>8.555858310626703E-2</v>
      </c>
      <c r="Q316" s="13"/>
    </row>
    <row r="317" spans="1:18" x14ac:dyDescent="0.15">
      <c r="A317" s="22">
        <v>316</v>
      </c>
      <c r="B317" s="22">
        <v>4177</v>
      </c>
      <c r="C317" s="23">
        <v>9</v>
      </c>
      <c r="D317" s="24" t="s">
        <v>1478</v>
      </c>
      <c r="E317" s="24" t="s">
        <v>616</v>
      </c>
      <c r="F317" s="25">
        <v>7245</v>
      </c>
      <c r="G317" s="25">
        <f>F317*1000000</f>
        <v>7245000000</v>
      </c>
      <c r="H317" s="25">
        <v>482</v>
      </c>
      <c r="I317" s="25">
        <f>H317*1000000</f>
        <v>482000000</v>
      </c>
      <c r="J317" s="24" t="s">
        <v>617</v>
      </c>
      <c r="K317" s="25">
        <v>86114203</v>
      </c>
      <c r="L317" s="23">
        <v>41900</v>
      </c>
      <c r="M317" s="23">
        <v>687</v>
      </c>
      <c r="N317" s="22">
        <v>0</v>
      </c>
      <c r="O317" s="26">
        <f>K317/G317</f>
        <v>1.1886018357487923E-2</v>
      </c>
      <c r="P317" s="27">
        <f>K317/I317</f>
        <v>0.17866017219917013</v>
      </c>
      <c r="Q317" s="22" t="b">
        <v>1</v>
      </c>
    </row>
    <row r="318" spans="1:18" x14ac:dyDescent="0.15">
      <c r="A318" s="22">
        <v>317</v>
      </c>
      <c r="B318" s="22">
        <v>4176</v>
      </c>
      <c r="C318" s="23">
        <v>5</v>
      </c>
      <c r="D318" s="24" t="s">
        <v>1474</v>
      </c>
      <c r="E318" s="24" t="s">
        <v>618</v>
      </c>
      <c r="F318" s="25">
        <v>7364</v>
      </c>
      <c r="G318" s="25">
        <f>F318*1000000</f>
        <v>7364000000</v>
      </c>
      <c r="H318" s="25">
        <v>574</v>
      </c>
      <c r="I318" s="25">
        <f>H318*1000000</f>
        <v>574000000</v>
      </c>
      <c r="J318" s="24" t="s">
        <v>619</v>
      </c>
      <c r="K318" s="25">
        <v>138181758</v>
      </c>
      <c r="L318" s="23">
        <v>42131</v>
      </c>
      <c r="M318" s="23">
        <v>623</v>
      </c>
      <c r="N318" s="22">
        <v>0</v>
      </c>
      <c r="O318" s="26">
        <f>K318/G318</f>
        <v>1.8764497284084736E-2</v>
      </c>
      <c r="P318" s="27">
        <f>K318/I318</f>
        <v>0.2407347700348432</v>
      </c>
      <c r="Q318" s="22" t="b">
        <v>1</v>
      </c>
    </row>
    <row r="319" spans="1:18" x14ac:dyDescent="0.15">
      <c r="A319" s="13">
        <v>318</v>
      </c>
      <c r="B319" s="13">
        <v>4167</v>
      </c>
      <c r="C319" s="16">
        <v>11</v>
      </c>
      <c r="D319" s="17" t="s">
        <v>1480</v>
      </c>
      <c r="E319" s="17" t="s">
        <v>620</v>
      </c>
      <c r="F319" s="12">
        <v>4701</v>
      </c>
      <c r="G319" s="12">
        <f>F319*1000000</f>
        <v>4701000000</v>
      </c>
      <c r="H319" s="12">
        <v>443</v>
      </c>
      <c r="I319" s="12">
        <f>H319*1000000</f>
        <v>443000000</v>
      </c>
      <c r="J319" s="17" t="s">
        <v>621</v>
      </c>
      <c r="K319" s="12">
        <v>130000000</v>
      </c>
      <c r="L319" s="4">
        <v>11725</v>
      </c>
      <c r="M319" s="4">
        <v>1100</v>
      </c>
      <c r="N319" s="13">
        <v>1</v>
      </c>
      <c r="O319" s="18">
        <f>K319/G319</f>
        <v>2.7653690704105508E-2</v>
      </c>
      <c r="P319" s="19">
        <f>K319/I319</f>
        <v>0.29345372460496616</v>
      </c>
      <c r="Q319" s="13"/>
    </row>
    <row r="320" spans="1:18" x14ac:dyDescent="0.15">
      <c r="A320" s="13">
        <v>319</v>
      </c>
      <c r="B320" s="13">
        <v>4167</v>
      </c>
      <c r="C320" s="16">
        <v>5</v>
      </c>
      <c r="D320" s="17" t="s">
        <v>1474</v>
      </c>
      <c r="E320" s="17" t="s">
        <v>622</v>
      </c>
      <c r="F320" s="12">
        <v>827</v>
      </c>
      <c r="G320" s="12">
        <f>F320*1000000</f>
        <v>827000000</v>
      </c>
      <c r="H320" s="12">
        <v>26</v>
      </c>
      <c r="I320" s="12">
        <f>H320*1000000</f>
        <v>26000000</v>
      </c>
      <c r="J320" s="17" t="s">
        <v>623</v>
      </c>
      <c r="K320" s="12">
        <v>19000000</v>
      </c>
      <c r="L320" s="4">
        <v>8000</v>
      </c>
      <c r="M320" s="4">
        <v>140</v>
      </c>
      <c r="N320" s="13">
        <v>1</v>
      </c>
      <c r="O320" s="18">
        <f>K320/G320</f>
        <v>2.2974607013301087E-2</v>
      </c>
      <c r="P320" s="19">
        <f>K320/I320</f>
        <v>0.73076923076923073</v>
      </c>
      <c r="Q320" s="13"/>
    </row>
    <row r="321" spans="1:18" x14ac:dyDescent="0.15">
      <c r="A321" s="13">
        <v>320</v>
      </c>
      <c r="B321" s="13">
        <v>4166</v>
      </c>
      <c r="C321" s="16">
        <v>12</v>
      </c>
      <c r="D321" s="17" t="s">
        <v>1481</v>
      </c>
      <c r="E321" s="17" t="s">
        <v>624</v>
      </c>
      <c r="F321" s="12">
        <v>3461</v>
      </c>
      <c r="G321" s="12">
        <f>F321*1000000</f>
        <v>3461000000</v>
      </c>
      <c r="H321" s="12">
        <v>278</v>
      </c>
      <c r="I321" s="12">
        <f>H321*1000000</f>
        <v>278000000</v>
      </c>
      <c r="J321" s="17" t="s">
        <v>625</v>
      </c>
      <c r="K321" s="12">
        <v>200000</v>
      </c>
      <c r="L321" s="4">
        <v>19000</v>
      </c>
      <c r="M321" s="4">
        <v>1000</v>
      </c>
      <c r="N321" s="13">
        <v>1</v>
      </c>
      <c r="O321" s="18">
        <f>K321/G321</f>
        <v>5.7786766830395839E-5</v>
      </c>
      <c r="P321" s="19">
        <f>K321/I321</f>
        <v>7.1942446043165469E-4</v>
      </c>
      <c r="Q321" s="13"/>
    </row>
    <row r="322" spans="1:18" x14ac:dyDescent="0.15">
      <c r="A322" s="13">
        <v>321</v>
      </c>
      <c r="B322" s="13">
        <v>4163</v>
      </c>
      <c r="C322" s="16">
        <v>12</v>
      </c>
      <c r="D322" s="17" t="s">
        <v>1481</v>
      </c>
      <c r="E322" s="17" t="s">
        <v>626</v>
      </c>
      <c r="F322" s="12">
        <v>1680</v>
      </c>
      <c r="G322" s="12">
        <f>F322*1000000</f>
        <v>1680000000</v>
      </c>
      <c r="H322" s="12">
        <v>79</v>
      </c>
      <c r="I322" s="12">
        <f>H322*1000000</f>
        <v>79000000</v>
      </c>
      <c r="J322" s="17" t="s">
        <v>627</v>
      </c>
      <c r="K322" s="12">
        <v>1440000</v>
      </c>
      <c r="L322" s="4">
        <v>5400</v>
      </c>
      <c r="M322" s="4">
        <v>100</v>
      </c>
      <c r="N322" s="13">
        <v>1</v>
      </c>
      <c r="O322" s="18">
        <f>K322/G322</f>
        <v>8.571428571428571E-4</v>
      </c>
      <c r="P322" s="19">
        <f>K322/I322</f>
        <v>1.8227848101265823E-2</v>
      </c>
      <c r="Q322" s="13"/>
    </row>
    <row r="323" spans="1:18" x14ac:dyDescent="0.15">
      <c r="A323" s="22">
        <v>322</v>
      </c>
      <c r="B323" s="22">
        <v>4162</v>
      </c>
      <c r="C323" s="23">
        <v>16</v>
      </c>
      <c r="D323" s="24" t="s">
        <v>1485</v>
      </c>
      <c r="E323" s="24" t="s">
        <v>628</v>
      </c>
      <c r="F323" s="25">
        <v>709</v>
      </c>
      <c r="G323" s="25">
        <f>F323*1000000</f>
        <v>709000000</v>
      </c>
      <c r="H323" s="22" t="s">
        <v>63</v>
      </c>
      <c r="I323" s="25" t="e">
        <f>H323*1000000</f>
        <v>#VALUE!</v>
      </c>
      <c r="J323" s="24" t="s">
        <v>629</v>
      </c>
      <c r="K323" s="25">
        <v>16361712</v>
      </c>
      <c r="L323" s="23">
        <v>5000</v>
      </c>
      <c r="M323" s="23">
        <v>67</v>
      </c>
      <c r="N323" s="22">
        <v>0</v>
      </c>
      <c r="O323" s="26">
        <f>K323/G323</f>
        <v>2.3077167842031031E-2</v>
      </c>
      <c r="P323" s="27" t="e">
        <f>K323/I323</f>
        <v>#VALUE!</v>
      </c>
      <c r="Q323" s="22" t="b">
        <v>1</v>
      </c>
    </row>
    <row r="324" spans="1:18" x14ac:dyDescent="0.15">
      <c r="A324" s="13">
        <v>323</v>
      </c>
      <c r="B324" s="13">
        <v>4149</v>
      </c>
      <c r="C324" s="16">
        <v>16</v>
      </c>
      <c r="D324" s="17" t="s">
        <v>1485</v>
      </c>
      <c r="E324" s="17" t="s">
        <v>630</v>
      </c>
      <c r="F324" s="12">
        <v>2985</v>
      </c>
      <c r="G324" s="12">
        <f>F324*1000000</f>
        <v>2985000000</v>
      </c>
      <c r="H324" s="12">
        <v>140</v>
      </c>
      <c r="I324" s="12">
        <f>H324*1000000</f>
        <v>140000000</v>
      </c>
      <c r="J324" s="17" t="s">
        <v>631</v>
      </c>
      <c r="K324" s="12">
        <v>8500000</v>
      </c>
      <c r="L324" s="4">
        <v>70000</v>
      </c>
      <c r="M324" s="4">
        <v>250</v>
      </c>
      <c r="N324" s="13">
        <v>1</v>
      </c>
      <c r="O324" s="18">
        <f>K324/G324</f>
        <v>2.8475711892797322E-3</v>
      </c>
      <c r="P324" s="19">
        <f>K324/I324</f>
        <v>6.0714285714285714E-2</v>
      </c>
      <c r="Q324" s="13"/>
    </row>
    <row r="325" spans="1:18" x14ac:dyDescent="0.15">
      <c r="A325" s="22">
        <v>324</v>
      </c>
      <c r="B325" s="22">
        <v>4144</v>
      </c>
      <c r="C325" s="23">
        <v>6</v>
      </c>
      <c r="D325" s="24" t="s">
        <v>1475</v>
      </c>
      <c r="E325" s="24" t="s">
        <v>632</v>
      </c>
      <c r="F325" s="25">
        <v>4028</v>
      </c>
      <c r="G325" s="25">
        <f>F325*1000000</f>
        <v>4028000000</v>
      </c>
      <c r="H325" s="25">
        <v>369</v>
      </c>
      <c r="I325" s="25">
        <f>H325*1000000</f>
        <v>369000000</v>
      </c>
      <c r="J325" s="24" t="s">
        <v>633</v>
      </c>
      <c r="K325" s="25">
        <v>107564972</v>
      </c>
      <c r="L325" s="23" t="s">
        <v>63</v>
      </c>
      <c r="M325" s="23">
        <v>511</v>
      </c>
      <c r="N325" s="22">
        <v>0</v>
      </c>
      <c r="O325" s="26">
        <f>K325/G325</f>
        <v>2.6704312810327705E-2</v>
      </c>
      <c r="P325" s="27">
        <f>K325/I325</f>
        <v>0.29150398915989162</v>
      </c>
      <c r="Q325" s="22" t="b">
        <v>1</v>
      </c>
    </row>
    <row r="326" spans="1:18" x14ac:dyDescent="0.15">
      <c r="A326" s="13">
        <v>325</v>
      </c>
      <c r="B326" s="13">
        <v>4143</v>
      </c>
      <c r="C326" s="16">
        <v>20</v>
      </c>
      <c r="D326" s="17" t="s">
        <v>1489</v>
      </c>
      <c r="E326" s="17" t="s">
        <v>634</v>
      </c>
      <c r="F326" s="12">
        <v>2487</v>
      </c>
      <c r="G326" s="12">
        <f>F326*1000000</f>
        <v>2487000000</v>
      </c>
      <c r="H326" s="12">
        <v>243</v>
      </c>
      <c r="I326" s="12">
        <f>H326*1000000</f>
        <v>243000000</v>
      </c>
      <c r="J326" s="17" t="s">
        <v>635</v>
      </c>
      <c r="K326" s="12">
        <v>41000000</v>
      </c>
      <c r="L326" s="4">
        <v>7100</v>
      </c>
      <c r="M326" s="4">
        <v>365</v>
      </c>
      <c r="N326" s="13">
        <v>1</v>
      </c>
      <c r="O326" s="18">
        <f>K326/G326</f>
        <v>1.6485725774024931E-2</v>
      </c>
      <c r="P326" s="19">
        <f>K326/I326</f>
        <v>0.16872427983539096</v>
      </c>
      <c r="Q326" s="13"/>
    </row>
    <row r="327" spans="1:18" x14ac:dyDescent="0.15">
      <c r="A327" s="7">
        <v>326</v>
      </c>
      <c r="B327" s="7">
        <v>4131</v>
      </c>
      <c r="C327" s="8">
        <v>14</v>
      </c>
      <c r="D327" s="9" t="s">
        <v>1483</v>
      </c>
      <c r="E327" s="9" t="s">
        <v>636</v>
      </c>
      <c r="F327" s="10">
        <v>3008</v>
      </c>
      <c r="G327" s="10">
        <f>F327*1000000</f>
        <v>3008000000</v>
      </c>
      <c r="H327" s="10">
        <v>178</v>
      </c>
      <c r="I327" s="10">
        <f>H327*1000000</f>
        <v>178000000</v>
      </c>
      <c r="J327" s="9" t="s">
        <v>637</v>
      </c>
      <c r="K327" s="10">
        <v>18011302</v>
      </c>
      <c r="L327" s="8">
        <v>12040</v>
      </c>
      <c r="M327" s="8">
        <v>124</v>
      </c>
      <c r="N327" s="7">
        <v>0</v>
      </c>
      <c r="O327" s="14">
        <f>K327/G327</f>
        <v>5.9877998670212762E-3</v>
      </c>
      <c r="P327" s="15">
        <f>K327/I327</f>
        <v>0.10118708988764046</v>
      </c>
      <c r="Q327" s="7"/>
    </row>
    <row r="328" spans="1:18" x14ac:dyDescent="0.15">
      <c r="A328" s="22">
        <v>327</v>
      </c>
      <c r="B328" s="22">
        <v>4128</v>
      </c>
      <c r="C328" s="23">
        <v>14</v>
      </c>
      <c r="D328" s="24" t="s">
        <v>1483</v>
      </c>
      <c r="E328" s="24" t="s">
        <v>638</v>
      </c>
      <c r="F328" s="25">
        <v>2032</v>
      </c>
      <c r="G328" s="25">
        <f>F328*1000000</f>
        <v>2032000000</v>
      </c>
      <c r="H328" s="25">
        <v>64</v>
      </c>
      <c r="I328" s="25">
        <f>H328*1000000</f>
        <v>64000000</v>
      </c>
      <c r="J328" s="24" t="s">
        <v>88</v>
      </c>
      <c r="K328" s="25">
        <v>16525274</v>
      </c>
      <c r="L328" s="23">
        <v>8500</v>
      </c>
      <c r="M328" s="23">
        <v>114</v>
      </c>
      <c r="N328" s="22">
        <v>0</v>
      </c>
      <c r="O328" s="26">
        <f>K328/G328</f>
        <v>8.1325167322834641E-3</v>
      </c>
      <c r="P328" s="27">
        <f>K328/I328</f>
        <v>0.25820740624999999</v>
      </c>
      <c r="Q328" s="22" t="b">
        <v>1</v>
      </c>
    </row>
    <row r="329" spans="1:18" x14ac:dyDescent="0.15">
      <c r="A329" s="22">
        <v>328</v>
      </c>
      <c r="B329" s="22">
        <v>4109</v>
      </c>
      <c r="C329" s="23">
        <v>6</v>
      </c>
      <c r="D329" s="24" t="s">
        <v>1475</v>
      </c>
      <c r="E329" s="24" t="s">
        <v>639</v>
      </c>
      <c r="F329" s="25">
        <v>464</v>
      </c>
      <c r="G329" s="25">
        <f>F329*1000000</f>
        <v>464000000</v>
      </c>
      <c r="H329" s="25">
        <v>4</v>
      </c>
      <c r="I329" s="25">
        <f>H329*1000000</f>
        <v>4000000</v>
      </c>
      <c r="J329" s="24" t="s">
        <v>88</v>
      </c>
      <c r="K329" s="25">
        <v>12390801</v>
      </c>
      <c r="L329" s="23" t="s">
        <v>63</v>
      </c>
      <c r="M329" s="23">
        <v>59</v>
      </c>
      <c r="N329" s="22">
        <v>0</v>
      </c>
      <c r="O329" s="26">
        <f>K329/G329</f>
        <v>2.6704312500000001E-2</v>
      </c>
      <c r="P329" s="27">
        <f>K329/I329</f>
        <v>3.0977002499999999</v>
      </c>
      <c r="Q329" s="22" t="b">
        <v>1</v>
      </c>
    </row>
    <row r="330" spans="1:18" x14ac:dyDescent="0.15">
      <c r="A330" s="22">
        <v>329</v>
      </c>
      <c r="B330" s="22">
        <v>4083</v>
      </c>
      <c r="C330" s="23">
        <v>20</v>
      </c>
      <c r="D330" s="24" t="s">
        <v>1489</v>
      </c>
      <c r="E330" s="24" t="s">
        <v>640</v>
      </c>
      <c r="F330" s="25">
        <v>5505</v>
      </c>
      <c r="G330" s="25">
        <f>F330*1000000</f>
        <v>5505000000</v>
      </c>
      <c r="H330" s="25">
        <v>500</v>
      </c>
      <c r="I330" s="25">
        <f>H330*1000000</f>
        <v>500000000</v>
      </c>
      <c r="J330" s="24" t="s">
        <v>641</v>
      </c>
      <c r="K330" s="25">
        <v>123304828</v>
      </c>
      <c r="L330" s="23">
        <v>20007</v>
      </c>
      <c r="M330" s="23">
        <v>612</v>
      </c>
      <c r="N330" s="22">
        <v>0</v>
      </c>
      <c r="O330" s="26">
        <f>K330/G330</f>
        <v>2.2398697184377838E-2</v>
      </c>
      <c r="P330" s="27">
        <f>K330/I330</f>
        <v>0.24660965600000001</v>
      </c>
      <c r="Q330" s="22" t="b">
        <v>1</v>
      </c>
    </row>
    <row r="331" spans="1:18" x14ac:dyDescent="0.15">
      <c r="A331" s="13">
        <v>330</v>
      </c>
      <c r="B331" s="13">
        <v>4070</v>
      </c>
      <c r="C331" s="16">
        <v>17</v>
      </c>
      <c r="D331" s="17" t="s">
        <v>1486</v>
      </c>
      <c r="E331" s="17" t="s">
        <v>642</v>
      </c>
      <c r="F331" s="12">
        <v>21311</v>
      </c>
      <c r="G331" s="12">
        <f>F331*1000000</f>
        <v>21311000000</v>
      </c>
      <c r="H331" s="12">
        <v>434</v>
      </c>
      <c r="I331" s="12">
        <f>H331*1000000</f>
        <v>434000000</v>
      </c>
      <c r="J331" s="17" t="s">
        <v>643</v>
      </c>
      <c r="K331" s="12">
        <v>68000000</v>
      </c>
      <c r="L331" s="4">
        <v>174000</v>
      </c>
      <c r="M331" s="4">
        <v>703</v>
      </c>
      <c r="N331" s="13">
        <v>1</v>
      </c>
      <c r="O331" s="18">
        <f>K331/G331</f>
        <v>3.1908404110553234E-3</v>
      </c>
      <c r="P331" s="19">
        <f>K331/I331</f>
        <v>0.15668202764976957</v>
      </c>
      <c r="Q331" s="13"/>
    </row>
    <row r="332" spans="1:18" x14ac:dyDescent="0.15">
      <c r="A332" s="22">
        <v>331</v>
      </c>
      <c r="B332" s="22">
        <v>4059</v>
      </c>
      <c r="C332" s="23">
        <v>13</v>
      </c>
      <c r="D332" s="24" t="s">
        <v>1482</v>
      </c>
      <c r="E332" s="24" t="s">
        <v>644</v>
      </c>
      <c r="F332" s="25">
        <v>3169</v>
      </c>
      <c r="G332" s="25">
        <f>F332*1000000</f>
        <v>3169000000</v>
      </c>
      <c r="H332" s="25">
        <v>98</v>
      </c>
      <c r="I332" s="25">
        <f>H332*1000000</f>
        <v>98000000</v>
      </c>
      <c r="J332" s="24" t="s">
        <v>645</v>
      </c>
      <c r="K332" s="25">
        <v>43646930</v>
      </c>
      <c r="L332" s="23">
        <v>20742</v>
      </c>
      <c r="M332" s="23">
        <v>247</v>
      </c>
      <c r="N332" s="22">
        <v>0</v>
      </c>
      <c r="O332" s="26">
        <f>K332/G332</f>
        <v>1.3773092458188703E-2</v>
      </c>
      <c r="P332" s="27">
        <f>K332/I332</f>
        <v>0.44537683673469386</v>
      </c>
      <c r="Q332" s="22" t="b">
        <v>1</v>
      </c>
      <c r="R332" s="13"/>
    </row>
    <row r="333" spans="1:18" x14ac:dyDescent="0.15">
      <c r="A333" s="13">
        <v>332</v>
      </c>
      <c r="B333" s="13">
        <v>4053</v>
      </c>
      <c r="C333" s="16">
        <v>12</v>
      </c>
      <c r="D333" s="17" t="s">
        <v>1481</v>
      </c>
      <c r="E333" s="17" t="s">
        <v>646</v>
      </c>
      <c r="F333" s="12">
        <v>4457</v>
      </c>
      <c r="G333" s="12">
        <f>F333*1000000</f>
        <v>4457000000</v>
      </c>
      <c r="H333" s="12">
        <v>-78</v>
      </c>
      <c r="I333" s="12">
        <f>H333*1000000</f>
        <v>-78000000</v>
      </c>
      <c r="J333" s="17" t="s">
        <v>647</v>
      </c>
      <c r="K333" s="12">
        <v>20000000</v>
      </c>
      <c r="L333" s="4">
        <v>38500</v>
      </c>
      <c r="M333" s="4">
        <v>250</v>
      </c>
      <c r="N333" s="13">
        <v>1</v>
      </c>
      <c r="O333" s="18">
        <f>K333/G333</f>
        <v>4.4873233116446039E-3</v>
      </c>
      <c r="P333" s="19">
        <f>K333/I333</f>
        <v>-0.25641025641025639</v>
      </c>
      <c r="Q333" s="13"/>
    </row>
    <row r="334" spans="1:18" x14ac:dyDescent="0.15">
      <c r="A334" s="22">
        <v>333</v>
      </c>
      <c r="B334" s="22">
        <v>4041</v>
      </c>
      <c r="C334" s="23">
        <v>12</v>
      </c>
      <c r="D334" s="24" t="s">
        <v>1481</v>
      </c>
      <c r="E334" s="24" t="s">
        <v>648</v>
      </c>
      <c r="F334" s="25">
        <v>821</v>
      </c>
      <c r="G334" s="25">
        <f>F334*1000000</f>
        <v>821000000</v>
      </c>
      <c r="H334" s="25">
        <v>-13</v>
      </c>
      <c r="I334" s="25">
        <f>H334*1000000</f>
        <v>-13000000</v>
      </c>
      <c r="J334" s="24" t="s">
        <v>649</v>
      </c>
      <c r="K334" s="25">
        <v>10365458</v>
      </c>
      <c r="L334" s="23">
        <v>5239</v>
      </c>
      <c r="M334" s="23">
        <v>71</v>
      </c>
      <c r="N334" s="22">
        <v>0</v>
      </c>
      <c r="O334" s="26">
        <f>K334/G334</f>
        <v>1.2625405602923264E-2</v>
      </c>
      <c r="P334" s="27">
        <f>K334/I334</f>
        <v>-0.79734292307692312</v>
      </c>
      <c r="Q334" s="22" t="b">
        <v>1</v>
      </c>
    </row>
    <row r="335" spans="1:18" x14ac:dyDescent="0.15">
      <c r="A335" s="22">
        <v>334</v>
      </c>
      <c r="B335" s="22">
        <v>4037</v>
      </c>
      <c r="C335" s="23">
        <v>14</v>
      </c>
      <c r="D335" s="24" t="s">
        <v>1483</v>
      </c>
      <c r="E335" s="24" t="s">
        <v>650</v>
      </c>
      <c r="F335" s="25">
        <v>2595</v>
      </c>
      <c r="G335" s="25">
        <f>F335*1000000</f>
        <v>2595000000</v>
      </c>
      <c r="H335" s="25">
        <v>73</v>
      </c>
      <c r="I335" s="25">
        <f>H335*1000000</f>
        <v>73000000</v>
      </c>
      <c r="J335" s="24" t="s">
        <v>651</v>
      </c>
      <c r="K335" s="25">
        <v>21103881</v>
      </c>
      <c r="L335" s="23">
        <v>12873</v>
      </c>
      <c r="M335" s="23">
        <v>145</v>
      </c>
      <c r="N335" s="22">
        <v>0</v>
      </c>
      <c r="O335" s="26">
        <f>K335/G335</f>
        <v>8.1325167630057812E-3</v>
      </c>
      <c r="P335" s="27">
        <f>K335/I335</f>
        <v>0.28909426027397261</v>
      </c>
      <c r="Q335" s="22" t="b">
        <v>1</v>
      </c>
    </row>
    <row r="336" spans="1:18" x14ac:dyDescent="0.15">
      <c r="A336" s="22">
        <v>335</v>
      </c>
      <c r="B336" s="22">
        <v>4027</v>
      </c>
      <c r="C336" s="23">
        <v>19</v>
      </c>
      <c r="D336" s="24" t="s">
        <v>1488</v>
      </c>
      <c r="E336" s="24" t="s">
        <v>652</v>
      </c>
      <c r="F336" s="25">
        <v>4581</v>
      </c>
      <c r="G336" s="25">
        <f>F336*1000000</f>
        <v>4581000000</v>
      </c>
      <c r="H336" s="25">
        <v>668</v>
      </c>
      <c r="I336" s="25">
        <f>H336*1000000</f>
        <v>668000000</v>
      </c>
      <c r="J336" s="24" t="s">
        <v>653</v>
      </c>
      <c r="K336" s="25">
        <v>125924451</v>
      </c>
      <c r="L336" s="23">
        <v>29304</v>
      </c>
      <c r="M336" s="23">
        <v>83</v>
      </c>
      <c r="N336" s="22">
        <v>0</v>
      </c>
      <c r="O336" s="26">
        <f>K336/G336</f>
        <v>2.7488419777341191E-2</v>
      </c>
      <c r="P336" s="27">
        <f>K336/I336</f>
        <v>0.18850965718562873</v>
      </c>
      <c r="Q336" s="22" t="b">
        <v>1</v>
      </c>
    </row>
    <row r="337" spans="1:17" x14ac:dyDescent="0.15">
      <c r="A337" s="13">
        <v>336</v>
      </c>
      <c r="B337" s="13">
        <v>3972</v>
      </c>
      <c r="C337" s="16">
        <v>3</v>
      </c>
      <c r="D337" s="17" t="s">
        <v>1472</v>
      </c>
      <c r="E337" s="17" t="s">
        <v>654</v>
      </c>
      <c r="F337" s="12">
        <v>3534</v>
      </c>
      <c r="G337" s="12">
        <f>F337*1000000</f>
        <v>3534000000</v>
      </c>
      <c r="H337" s="12">
        <v>264</v>
      </c>
      <c r="I337" s="12">
        <f>H337*1000000</f>
        <v>264000000</v>
      </c>
      <c r="J337" s="17" t="s">
        <v>655</v>
      </c>
      <c r="K337" s="12">
        <v>70000000</v>
      </c>
      <c r="L337" s="4">
        <v>13000</v>
      </c>
      <c r="M337" s="4">
        <v>500</v>
      </c>
      <c r="N337" s="13">
        <v>1</v>
      </c>
      <c r="O337" s="18">
        <f>K337/G337</f>
        <v>1.9807583474816072E-2</v>
      </c>
      <c r="P337" s="19">
        <f>K337/I337</f>
        <v>0.26515151515151514</v>
      </c>
      <c r="Q337" s="13"/>
    </row>
    <row r="338" spans="1:17" x14ac:dyDescent="0.15">
      <c r="A338" s="22">
        <v>337</v>
      </c>
      <c r="B338" s="22">
        <v>3952</v>
      </c>
      <c r="C338" s="23">
        <v>2</v>
      </c>
      <c r="D338" s="24" t="s">
        <v>1471</v>
      </c>
      <c r="E338" s="24" t="s">
        <v>656</v>
      </c>
      <c r="F338" s="25">
        <v>4965</v>
      </c>
      <c r="G338" s="25">
        <f>F338*1000000</f>
        <v>4965000000</v>
      </c>
      <c r="H338" s="25">
        <v>841</v>
      </c>
      <c r="I338" s="25">
        <f>H338*1000000</f>
        <v>841000000</v>
      </c>
      <c r="J338" s="24" t="s">
        <v>657</v>
      </c>
      <c r="K338" s="25">
        <v>242683420</v>
      </c>
      <c r="L338" s="23">
        <v>20800</v>
      </c>
      <c r="M338" s="23">
        <v>1117</v>
      </c>
      <c r="N338" s="22">
        <v>0</v>
      </c>
      <c r="O338" s="26">
        <f>K338/G338</f>
        <v>4.8878835850956696E-2</v>
      </c>
      <c r="P338" s="27">
        <f>K338/I338</f>
        <v>0.28856530321046375</v>
      </c>
      <c r="Q338" s="22" t="b">
        <v>1</v>
      </c>
    </row>
    <row r="339" spans="1:17" x14ac:dyDescent="0.15">
      <c r="A339" s="7">
        <v>338</v>
      </c>
      <c r="B339" s="7">
        <v>3943</v>
      </c>
      <c r="C339" s="8">
        <v>5</v>
      </c>
      <c r="D339" s="9" t="s">
        <v>1474</v>
      </c>
      <c r="E339" s="9" t="s">
        <v>658</v>
      </c>
      <c r="F339" s="10">
        <v>2700</v>
      </c>
      <c r="G339" s="10">
        <f>F339*1000000</f>
        <v>2700000000</v>
      </c>
      <c r="H339" s="10">
        <v>129</v>
      </c>
      <c r="I339" s="10">
        <f>H339*1000000</f>
        <v>129000000</v>
      </c>
      <c r="J339" s="9" t="s">
        <v>659</v>
      </c>
      <c r="K339" s="10">
        <v>30584520</v>
      </c>
      <c r="L339" s="8">
        <v>18000</v>
      </c>
      <c r="M339" s="8">
        <v>220</v>
      </c>
      <c r="N339" s="7">
        <v>0</v>
      </c>
      <c r="O339" s="14">
        <f>K339/G339</f>
        <v>1.13276E-2</v>
      </c>
      <c r="P339" s="15">
        <f>K339/I339</f>
        <v>0.2370893023255814</v>
      </c>
      <c r="Q339" s="7"/>
    </row>
    <row r="340" spans="1:17" x14ac:dyDescent="0.15">
      <c r="A340" s="13">
        <v>339</v>
      </c>
      <c r="B340" s="13">
        <v>3929</v>
      </c>
      <c r="C340" s="16">
        <v>19</v>
      </c>
      <c r="D340" s="17" t="s">
        <v>1488</v>
      </c>
      <c r="E340" s="17" t="s">
        <v>660</v>
      </c>
      <c r="F340" s="12">
        <v>4995</v>
      </c>
      <c r="G340" s="12">
        <f>F340*1000000</f>
        <v>4995000000</v>
      </c>
      <c r="H340" s="12">
        <v>426</v>
      </c>
      <c r="I340" s="12">
        <f>H340*1000000</f>
        <v>426000000</v>
      </c>
      <c r="J340" s="17" t="s">
        <v>661</v>
      </c>
      <c r="K340" s="12">
        <v>170000000</v>
      </c>
      <c r="L340" s="4">
        <v>32000</v>
      </c>
      <c r="M340" s="4">
        <v>850</v>
      </c>
      <c r="N340" s="13">
        <v>1</v>
      </c>
      <c r="O340" s="18">
        <f>K340/G340</f>
        <v>3.4034034034034037E-2</v>
      </c>
      <c r="P340" s="19">
        <f>K340/I340</f>
        <v>0.39906103286384975</v>
      </c>
      <c r="Q340" s="13"/>
    </row>
    <row r="341" spans="1:17" x14ac:dyDescent="0.15">
      <c r="A341" s="13">
        <v>340</v>
      </c>
      <c r="B341" s="13">
        <v>3923</v>
      </c>
      <c r="C341" s="16">
        <v>2</v>
      </c>
      <c r="D341" s="17" t="s">
        <v>1471</v>
      </c>
      <c r="E341" s="17" t="s">
        <v>662</v>
      </c>
      <c r="F341" s="12">
        <v>4546</v>
      </c>
      <c r="G341" s="12">
        <f>F341*1000000</f>
        <v>4546000000</v>
      </c>
      <c r="H341" s="12">
        <v>442</v>
      </c>
      <c r="I341" s="12">
        <f>H341*1000000</f>
        <v>442000000</v>
      </c>
      <c r="J341" s="17" t="s">
        <v>663</v>
      </c>
      <c r="K341" s="12">
        <v>141500000</v>
      </c>
      <c r="L341" s="4">
        <v>18030</v>
      </c>
      <c r="M341" s="4">
        <v>1080</v>
      </c>
      <c r="N341" s="13">
        <v>1</v>
      </c>
      <c r="O341" s="18">
        <f>K341/G341</f>
        <v>3.1126264848218215E-2</v>
      </c>
      <c r="P341" s="19">
        <f>K341/I341</f>
        <v>0.32013574660633481</v>
      </c>
      <c r="Q341" s="13"/>
    </row>
    <row r="342" spans="1:17" x14ac:dyDescent="0.15">
      <c r="A342" s="7">
        <v>341</v>
      </c>
      <c r="B342" s="7">
        <v>3922</v>
      </c>
      <c r="C342" s="8">
        <v>19</v>
      </c>
      <c r="D342" s="9" t="s">
        <v>1488</v>
      </c>
      <c r="E342" s="9" t="s">
        <v>664</v>
      </c>
      <c r="F342" s="10">
        <v>2868</v>
      </c>
      <c r="G342" s="10">
        <f>F342*1000000</f>
        <v>2868000000</v>
      </c>
      <c r="H342" s="10">
        <v>-4</v>
      </c>
      <c r="I342" s="10">
        <f>H342*1000000</f>
        <v>-4000000</v>
      </c>
      <c r="J342" s="9" t="s">
        <v>665</v>
      </c>
      <c r="K342" s="10">
        <v>59829348</v>
      </c>
      <c r="L342" s="8">
        <v>35000</v>
      </c>
      <c r="M342" s="8">
        <v>402</v>
      </c>
      <c r="N342" s="7">
        <v>0</v>
      </c>
      <c r="O342" s="14">
        <f>K342/G342</f>
        <v>2.0861000000000001E-2</v>
      </c>
      <c r="P342" s="15">
        <f>K342/I342</f>
        <v>-14.957337000000001</v>
      </c>
      <c r="Q342" s="7"/>
    </row>
    <row r="343" spans="1:17" x14ac:dyDescent="0.15">
      <c r="A343" s="22">
        <v>342</v>
      </c>
      <c r="B343" s="22">
        <v>3921</v>
      </c>
      <c r="C343" s="23">
        <v>9</v>
      </c>
      <c r="D343" s="24" t="s">
        <v>1478</v>
      </c>
      <c r="E343" s="24" t="s">
        <v>666</v>
      </c>
      <c r="F343" s="25">
        <v>8517</v>
      </c>
      <c r="G343" s="25">
        <f>F343*1000000</f>
        <v>8517000000</v>
      </c>
      <c r="H343" s="25">
        <v>470</v>
      </c>
      <c r="I343" s="25">
        <f>H343*1000000</f>
        <v>470000000</v>
      </c>
      <c r="J343" s="24" t="s">
        <v>667</v>
      </c>
      <c r="K343" s="25">
        <v>101233219</v>
      </c>
      <c r="L343" s="23">
        <v>121290</v>
      </c>
      <c r="M343" s="23">
        <v>808</v>
      </c>
      <c r="N343" s="22">
        <v>0</v>
      </c>
      <c r="O343" s="26">
        <f>K343/G343</f>
        <v>1.1886018433720794E-2</v>
      </c>
      <c r="P343" s="27">
        <f>K343/I343</f>
        <v>0.21538982765957446</v>
      </c>
      <c r="Q343" s="22" t="b">
        <v>1</v>
      </c>
    </row>
    <row r="344" spans="1:17" x14ac:dyDescent="0.15">
      <c r="A344" s="13">
        <v>343</v>
      </c>
      <c r="B344" s="13">
        <v>3912</v>
      </c>
      <c r="C344" s="16">
        <v>4</v>
      </c>
      <c r="D344" s="17" t="s">
        <v>1473</v>
      </c>
      <c r="E344" s="17" t="s">
        <v>668</v>
      </c>
      <c r="F344" s="12">
        <v>922</v>
      </c>
      <c r="G344" s="12">
        <f>F344*1000000</f>
        <v>922000000</v>
      </c>
      <c r="H344" s="12">
        <v>56</v>
      </c>
      <c r="I344" s="12">
        <f>H344*1000000</f>
        <v>56000000</v>
      </c>
      <c r="J344" s="17" t="s">
        <v>669</v>
      </c>
      <c r="K344" s="12">
        <v>50000000</v>
      </c>
      <c r="L344" s="4">
        <v>4800</v>
      </c>
      <c r="M344" s="4">
        <v>250</v>
      </c>
      <c r="N344" s="13">
        <v>1</v>
      </c>
      <c r="O344" s="18">
        <f>K344/G344</f>
        <v>5.4229934924078092E-2</v>
      </c>
      <c r="P344" s="19">
        <f>K344/I344</f>
        <v>0.8928571428571429</v>
      </c>
      <c r="Q344" s="13"/>
    </row>
    <row r="345" spans="1:17" x14ac:dyDescent="0.15">
      <c r="A345" s="22">
        <v>344</v>
      </c>
      <c r="B345" s="22">
        <v>3888</v>
      </c>
      <c r="C345" s="23">
        <v>11</v>
      </c>
      <c r="D345" s="24" t="s">
        <v>1480</v>
      </c>
      <c r="E345" s="24" t="s">
        <v>670</v>
      </c>
      <c r="F345" s="25">
        <v>1300</v>
      </c>
      <c r="G345" s="25">
        <f>F345*1000000</f>
        <v>1300000000</v>
      </c>
      <c r="H345" s="22" t="s">
        <v>63</v>
      </c>
      <c r="I345" s="25" t="e">
        <f>H345*1000000</f>
        <v>#VALUE!</v>
      </c>
      <c r="J345" s="24" t="s">
        <v>88</v>
      </c>
      <c r="K345" s="25">
        <v>24291971</v>
      </c>
      <c r="L345" s="23">
        <v>3300</v>
      </c>
      <c r="M345" s="23">
        <v>203</v>
      </c>
      <c r="N345" s="22">
        <v>0</v>
      </c>
      <c r="O345" s="26">
        <f>K345/G345</f>
        <v>1.8686131538461537E-2</v>
      </c>
      <c r="P345" s="27" t="e">
        <f>K345/I345</f>
        <v>#VALUE!</v>
      </c>
      <c r="Q345" s="22" t="b">
        <v>1</v>
      </c>
    </row>
    <row r="346" spans="1:17" x14ac:dyDescent="0.15">
      <c r="A346" s="22">
        <v>345</v>
      </c>
      <c r="B346" s="22">
        <v>3887</v>
      </c>
      <c r="C346" s="23">
        <v>12</v>
      </c>
      <c r="D346" s="24" t="s">
        <v>1481</v>
      </c>
      <c r="E346" s="24" t="s">
        <v>671</v>
      </c>
      <c r="F346" s="25">
        <v>1536</v>
      </c>
      <c r="G346" s="25">
        <f>F346*1000000</f>
        <v>1536000000</v>
      </c>
      <c r="H346" s="25">
        <v>-31</v>
      </c>
      <c r="I346" s="25">
        <f>H346*1000000</f>
        <v>-31000000</v>
      </c>
      <c r="J346" s="24" t="s">
        <v>88</v>
      </c>
      <c r="K346" s="25">
        <v>19392624</v>
      </c>
      <c r="L346" s="23">
        <v>12000</v>
      </c>
      <c r="M346" s="23">
        <v>132</v>
      </c>
      <c r="N346" s="22">
        <v>0</v>
      </c>
      <c r="O346" s="26">
        <f>K346/G346</f>
        <v>1.262540625E-2</v>
      </c>
      <c r="P346" s="27">
        <f>K346/I346</f>
        <v>-0.6255685161290323</v>
      </c>
      <c r="Q346" s="22" t="b">
        <v>1</v>
      </c>
    </row>
    <row r="347" spans="1:17" x14ac:dyDescent="0.15">
      <c r="A347" s="22">
        <v>346</v>
      </c>
      <c r="B347" s="22">
        <v>3880</v>
      </c>
      <c r="C347" s="23">
        <v>4</v>
      </c>
      <c r="D347" s="24" t="s">
        <v>1473</v>
      </c>
      <c r="E347" s="24" t="s">
        <v>672</v>
      </c>
      <c r="F347" s="25">
        <v>2623</v>
      </c>
      <c r="G347" s="25">
        <f>F347*1000000</f>
        <v>2623000000</v>
      </c>
      <c r="H347" s="25">
        <v>586</v>
      </c>
      <c r="I347" s="25">
        <f>H347*1000000</f>
        <v>586000000</v>
      </c>
      <c r="J347" s="24" t="s">
        <v>673</v>
      </c>
      <c r="K347" s="25">
        <v>63719245</v>
      </c>
      <c r="L347" s="23">
        <v>7600</v>
      </c>
      <c r="M347" s="23">
        <v>306</v>
      </c>
      <c r="N347" s="22">
        <v>0</v>
      </c>
      <c r="O347" s="26">
        <f>K347/G347</f>
        <v>2.4292506671749904E-2</v>
      </c>
      <c r="P347" s="27">
        <f>K347/I347</f>
        <v>0.10873591296928328</v>
      </c>
      <c r="Q347" s="22" t="b">
        <v>1</v>
      </c>
    </row>
    <row r="348" spans="1:17" x14ac:dyDescent="0.15">
      <c r="A348" s="22">
        <v>347</v>
      </c>
      <c r="B348" s="22">
        <v>3875</v>
      </c>
      <c r="C348" s="23">
        <v>12</v>
      </c>
      <c r="D348" s="24" t="s">
        <v>1481</v>
      </c>
      <c r="E348" s="24" t="s">
        <v>674</v>
      </c>
      <c r="F348" s="25">
        <v>762</v>
      </c>
      <c r="G348" s="25">
        <f>F348*1000000</f>
        <v>762000000</v>
      </c>
      <c r="H348" s="25">
        <v>-167</v>
      </c>
      <c r="I348" s="25">
        <f>H348*1000000</f>
        <v>-167000000</v>
      </c>
      <c r="J348" s="24" t="s">
        <v>675</v>
      </c>
      <c r="K348" s="25">
        <v>9620560</v>
      </c>
      <c r="L348" s="23">
        <v>12600</v>
      </c>
      <c r="M348" s="23">
        <v>66</v>
      </c>
      <c r="N348" s="22">
        <v>0</v>
      </c>
      <c r="O348" s="26">
        <f>K348/G348</f>
        <v>1.2625406824146982E-2</v>
      </c>
      <c r="P348" s="27">
        <f>K348/I348</f>
        <v>-5.7608143712574847E-2</v>
      </c>
      <c r="Q348" s="22" t="b">
        <v>1</v>
      </c>
    </row>
    <row r="349" spans="1:17" x14ac:dyDescent="0.15">
      <c r="A349" s="13">
        <v>348</v>
      </c>
      <c r="B349" s="13">
        <v>3869</v>
      </c>
      <c r="C349" s="16">
        <v>16</v>
      </c>
      <c r="D349" s="17" t="s">
        <v>1485</v>
      </c>
      <c r="E349" s="17" t="s">
        <v>676</v>
      </c>
      <c r="F349" s="12">
        <v>1009</v>
      </c>
      <c r="G349" s="12">
        <f>F349*1000000</f>
        <v>1009000000</v>
      </c>
      <c r="H349" s="13" t="s">
        <v>63</v>
      </c>
      <c r="I349" s="12" t="e">
        <f>H349*1000000</f>
        <v>#VALUE!</v>
      </c>
      <c r="J349" s="17" t="s">
        <v>677</v>
      </c>
      <c r="K349" s="12">
        <v>25000000</v>
      </c>
      <c r="L349" s="4">
        <v>10000</v>
      </c>
      <c r="M349" s="4">
        <v>150</v>
      </c>
      <c r="N349" s="13">
        <v>1</v>
      </c>
      <c r="O349" s="18">
        <f>K349/G349</f>
        <v>2.4777006937561942E-2</v>
      </c>
      <c r="P349" s="19" t="e">
        <f>K349/I349</f>
        <v>#VALUE!</v>
      </c>
      <c r="Q349" s="13"/>
    </row>
    <row r="350" spans="1:17" x14ac:dyDescent="0.15">
      <c r="A350" s="22">
        <v>349</v>
      </c>
      <c r="B350" s="22">
        <v>3868</v>
      </c>
      <c r="C350" s="23">
        <v>12</v>
      </c>
      <c r="D350" s="24" t="s">
        <v>1481</v>
      </c>
      <c r="E350" s="24" t="s">
        <v>678</v>
      </c>
      <c r="F350" s="25">
        <v>1865</v>
      </c>
      <c r="G350" s="25">
        <f>F350*1000000</f>
        <v>1865000000</v>
      </c>
      <c r="H350" s="25">
        <v>45</v>
      </c>
      <c r="I350" s="25">
        <f>H350*1000000</f>
        <v>45000000</v>
      </c>
      <c r="J350" s="24" t="s">
        <v>88</v>
      </c>
      <c r="K350" s="25">
        <v>23546383</v>
      </c>
      <c r="L350" s="23">
        <v>10250</v>
      </c>
      <c r="M350" s="23">
        <v>160</v>
      </c>
      <c r="N350" s="22">
        <v>0</v>
      </c>
      <c r="O350" s="26">
        <f>K350/G350</f>
        <v>1.2625406434316354E-2</v>
      </c>
      <c r="P350" s="27">
        <f>K350/I350</f>
        <v>0.52325295555555551</v>
      </c>
      <c r="Q350" s="22" t="b">
        <v>1</v>
      </c>
    </row>
    <row r="351" spans="1:17" x14ac:dyDescent="0.15">
      <c r="A351" s="13">
        <v>350</v>
      </c>
      <c r="B351" s="13">
        <v>3868</v>
      </c>
      <c r="C351" s="16">
        <v>4</v>
      </c>
      <c r="D351" s="17" t="s">
        <v>1473</v>
      </c>
      <c r="E351" s="17" t="s">
        <v>679</v>
      </c>
      <c r="F351" s="12">
        <v>2098</v>
      </c>
      <c r="G351" s="12">
        <f>F351*1000000</f>
        <v>2098000000</v>
      </c>
      <c r="H351" s="12">
        <v>55</v>
      </c>
      <c r="I351" s="12">
        <f>H351*1000000</f>
        <v>55000000</v>
      </c>
      <c r="J351" s="17" t="s">
        <v>680</v>
      </c>
      <c r="K351" s="12">
        <v>25000000</v>
      </c>
      <c r="L351" s="4">
        <v>2000</v>
      </c>
      <c r="M351" s="4">
        <v>175</v>
      </c>
      <c r="N351" s="13">
        <v>1</v>
      </c>
      <c r="O351" s="18">
        <f>K351/G351</f>
        <v>1.1916110581506196E-2</v>
      </c>
      <c r="P351" s="19">
        <f>K351/I351</f>
        <v>0.45454545454545453</v>
      </c>
      <c r="Q351" s="13"/>
    </row>
    <row r="352" spans="1:17" x14ac:dyDescent="0.15">
      <c r="A352" s="13">
        <v>351</v>
      </c>
      <c r="B352" s="13">
        <v>3834</v>
      </c>
      <c r="C352" s="16">
        <v>7</v>
      </c>
      <c r="D352" s="17" t="s">
        <v>1476</v>
      </c>
      <c r="E352" s="17" t="s">
        <v>681</v>
      </c>
      <c r="F352" s="12">
        <v>3036</v>
      </c>
      <c r="G352" s="12">
        <f>F352*1000000</f>
        <v>3036000000</v>
      </c>
      <c r="H352" s="12">
        <v>9</v>
      </c>
      <c r="I352" s="12">
        <f>H352*1000000</f>
        <v>9000000</v>
      </c>
      <c r="J352" s="17" t="s">
        <v>682</v>
      </c>
      <c r="K352" s="12">
        <v>16500000</v>
      </c>
      <c r="L352" s="4">
        <v>7566</v>
      </c>
      <c r="M352" s="4">
        <v>330</v>
      </c>
      <c r="N352" s="13">
        <v>1</v>
      </c>
      <c r="O352" s="18">
        <f>K352/G352</f>
        <v>5.434782608695652E-3</v>
      </c>
      <c r="P352" s="19">
        <f>K352/I352</f>
        <v>1.8333333333333333</v>
      </c>
      <c r="Q352" s="13"/>
    </row>
    <row r="353" spans="1:17" x14ac:dyDescent="0.15">
      <c r="A353" s="22">
        <v>352</v>
      </c>
      <c r="B353" s="22">
        <v>3828</v>
      </c>
      <c r="C353" s="23">
        <v>11</v>
      </c>
      <c r="D353" s="24" t="s">
        <v>1480</v>
      </c>
      <c r="E353" s="24" t="s">
        <v>683</v>
      </c>
      <c r="F353" s="25">
        <v>5710</v>
      </c>
      <c r="G353" s="25">
        <f>F353*1000000</f>
        <v>5710000000</v>
      </c>
      <c r="H353" s="25">
        <v>529</v>
      </c>
      <c r="I353" s="25">
        <f>H353*1000000</f>
        <v>529000000</v>
      </c>
      <c r="J353" s="24" t="s">
        <v>684</v>
      </c>
      <c r="K353" s="25">
        <v>106697810</v>
      </c>
      <c r="L353" s="23">
        <v>10500</v>
      </c>
      <c r="M353" s="23">
        <v>890</v>
      </c>
      <c r="N353" s="22">
        <v>0</v>
      </c>
      <c r="O353" s="26">
        <f>K353/G353</f>
        <v>1.8686131348511385E-2</v>
      </c>
      <c r="P353" s="27">
        <f>K353/I353</f>
        <v>0.20169718336483933</v>
      </c>
      <c r="Q353" s="22" t="b">
        <v>1</v>
      </c>
    </row>
    <row r="354" spans="1:17" x14ac:dyDescent="0.15">
      <c r="A354" s="22">
        <v>353</v>
      </c>
      <c r="B354" s="22">
        <v>3817</v>
      </c>
      <c r="C354" s="23">
        <v>20</v>
      </c>
      <c r="D354" s="24" t="s">
        <v>1489</v>
      </c>
      <c r="E354" s="24" t="s">
        <v>685</v>
      </c>
      <c r="F354" s="25">
        <v>2877</v>
      </c>
      <c r="G354" s="25">
        <f>F354*1000000</f>
        <v>2877000000</v>
      </c>
      <c r="H354" s="25">
        <v>313</v>
      </c>
      <c r="I354" s="25">
        <f>H354*1000000</f>
        <v>313000000</v>
      </c>
      <c r="J354" s="24" t="s">
        <v>686</v>
      </c>
      <c r="K354" s="25">
        <v>64441052</v>
      </c>
      <c r="L354" s="23">
        <v>7900</v>
      </c>
      <c r="M354" s="23">
        <v>320</v>
      </c>
      <c r="N354" s="22">
        <v>0</v>
      </c>
      <c r="O354" s="26">
        <f>K354/G354</f>
        <v>2.2398697254084117E-2</v>
      </c>
      <c r="P354" s="27">
        <f>K354/I354</f>
        <v>0.2058819552715655</v>
      </c>
      <c r="Q354" s="22" t="b">
        <v>1</v>
      </c>
    </row>
    <row r="355" spans="1:17" x14ac:dyDescent="0.15">
      <c r="A355" s="22">
        <v>354</v>
      </c>
      <c r="B355" s="22">
        <v>3814</v>
      </c>
      <c r="C355" s="23">
        <v>11</v>
      </c>
      <c r="D355" s="24" t="s">
        <v>1480</v>
      </c>
      <c r="E355" s="24" t="s">
        <v>687</v>
      </c>
      <c r="F355" s="25">
        <v>4841</v>
      </c>
      <c r="G355" s="25">
        <f>F355*1000000</f>
        <v>4841000000</v>
      </c>
      <c r="H355" s="25">
        <v>513</v>
      </c>
      <c r="I355" s="25">
        <f>H355*1000000</f>
        <v>513000000</v>
      </c>
      <c r="J355" s="24" t="s">
        <v>688</v>
      </c>
      <c r="K355" s="25">
        <v>90459562</v>
      </c>
      <c r="L355" s="23">
        <v>11500</v>
      </c>
      <c r="M355" s="23">
        <v>755</v>
      </c>
      <c r="N355" s="22">
        <v>0</v>
      </c>
      <c r="O355" s="26">
        <f>K355/G355</f>
        <v>1.86861313778145E-2</v>
      </c>
      <c r="P355" s="27">
        <f>K355/I355</f>
        <v>0.17633442884990252</v>
      </c>
      <c r="Q355" s="22" t="b">
        <v>1</v>
      </c>
    </row>
    <row r="356" spans="1:17" x14ac:dyDescent="0.15">
      <c r="A356" s="13">
        <v>355</v>
      </c>
      <c r="B356" s="13">
        <v>3773</v>
      </c>
      <c r="C356" s="16">
        <v>16</v>
      </c>
      <c r="D356" s="17" t="s">
        <v>1485</v>
      </c>
      <c r="E356" s="17" t="s">
        <v>689</v>
      </c>
      <c r="F356" s="12">
        <v>1984</v>
      </c>
      <c r="G356" s="12">
        <f>F356*1000000</f>
        <v>1984000000</v>
      </c>
      <c r="H356" s="12">
        <v>141</v>
      </c>
      <c r="I356" s="12">
        <f>H356*1000000</f>
        <v>141000000</v>
      </c>
      <c r="J356" s="17" t="s">
        <v>690</v>
      </c>
      <c r="K356" s="12">
        <v>20000000</v>
      </c>
      <c r="L356" s="4">
        <v>17000</v>
      </c>
      <c r="M356" s="4">
        <v>200</v>
      </c>
      <c r="N356" s="13">
        <v>1</v>
      </c>
      <c r="O356" s="18">
        <f>K356/G356</f>
        <v>1.0080645161290322E-2</v>
      </c>
      <c r="P356" s="19">
        <f>K356/I356</f>
        <v>0.14184397163120568</v>
      </c>
      <c r="Q356" s="13"/>
    </row>
    <row r="357" spans="1:17" x14ac:dyDescent="0.15">
      <c r="A357" s="13">
        <v>356</v>
      </c>
      <c r="B357" s="13">
        <v>3765</v>
      </c>
      <c r="C357" s="16">
        <v>8</v>
      </c>
      <c r="D357" s="17" t="s">
        <v>1477</v>
      </c>
      <c r="E357" s="17" t="s">
        <v>691</v>
      </c>
      <c r="F357" s="12">
        <v>4603</v>
      </c>
      <c r="G357" s="12">
        <f>F357*1000000</f>
        <v>4603000000</v>
      </c>
      <c r="H357" s="12">
        <v>368</v>
      </c>
      <c r="I357" s="12">
        <f>H357*1000000</f>
        <v>368000000</v>
      </c>
      <c r="J357" s="17" t="s">
        <v>692</v>
      </c>
      <c r="K357" s="12">
        <v>250000000</v>
      </c>
      <c r="L357" s="4">
        <v>13000</v>
      </c>
      <c r="M357" s="4">
        <v>550</v>
      </c>
      <c r="N357" s="13">
        <v>1</v>
      </c>
      <c r="O357" s="18">
        <f>K357/G357</f>
        <v>5.4312404953291329E-2</v>
      </c>
      <c r="P357" s="19">
        <f>K357/I357</f>
        <v>0.67934782608695654</v>
      </c>
      <c r="Q357" s="13"/>
    </row>
    <row r="358" spans="1:17" x14ac:dyDescent="0.15">
      <c r="A358" s="13">
        <v>357</v>
      </c>
      <c r="B358" s="13">
        <v>3745</v>
      </c>
      <c r="C358" s="16">
        <v>20</v>
      </c>
      <c r="D358" s="17" t="s">
        <v>1489</v>
      </c>
      <c r="E358" s="17" t="s">
        <v>693</v>
      </c>
      <c r="F358" s="12">
        <v>1098</v>
      </c>
      <c r="G358" s="12">
        <f>F358*1000000</f>
        <v>1098000000</v>
      </c>
      <c r="H358" s="12">
        <v>105</v>
      </c>
      <c r="I358" s="12">
        <f>H358*1000000</f>
        <v>105000000</v>
      </c>
      <c r="J358" s="17" t="s">
        <v>694</v>
      </c>
      <c r="K358" s="12">
        <v>12300000</v>
      </c>
      <c r="L358" s="4">
        <v>7470</v>
      </c>
      <c r="M358" s="4">
        <v>61</v>
      </c>
      <c r="N358" s="13">
        <v>1</v>
      </c>
      <c r="O358" s="18">
        <f>K358/G358</f>
        <v>1.1202185792349727E-2</v>
      </c>
      <c r="P358" s="19">
        <f>K358/I358</f>
        <v>0.11714285714285715</v>
      </c>
      <c r="Q358" s="13"/>
    </row>
    <row r="359" spans="1:17" x14ac:dyDescent="0.15">
      <c r="A359" s="22">
        <v>358</v>
      </c>
      <c r="B359" s="22">
        <v>3729</v>
      </c>
      <c r="C359" s="23">
        <v>18</v>
      </c>
      <c r="D359" s="24" t="s">
        <v>1487</v>
      </c>
      <c r="E359" s="24" t="s">
        <v>695</v>
      </c>
      <c r="F359" s="25">
        <v>9235</v>
      </c>
      <c r="G359" s="25">
        <f>F359*1000000</f>
        <v>9235000000</v>
      </c>
      <c r="H359" s="25">
        <v>1136</v>
      </c>
      <c r="I359" s="25">
        <f>H359*1000000</f>
        <v>1136000000</v>
      </c>
      <c r="J359" s="24" t="s">
        <v>696</v>
      </c>
      <c r="K359" s="25">
        <v>460437073</v>
      </c>
      <c r="L359" s="23">
        <v>51590</v>
      </c>
      <c r="M359" s="23">
        <v>1966</v>
      </c>
      <c r="N359" s="22">
        <v>0</v>
      </c>
      <c r="O359" s="26">
        <f>K359/G359</f>
        <v>4.9857831402273955E-2</v>
      </c>
      <c r="P359" s="27">
        <f>K359/I359</f>
        <v>0.40531432482394364</v>
      </c>
      <c r="Q359" s="22" t="b">
        <v>1</v>
      </c>
    </row>
    <row r="360" spans="1:17" x14ac:dyDescent="0.15">
      <c r="A360" s="13">
        <v>359</v>
      </c>
      <c r="B360" s="13">
        <v>3691</v>
      </c>
      <c r="C360" s="16">
        <v>5</v>
      </c>
      <c r="D360" s="17" t="s">
        <v>1474</v>
      </c>
      <c r="E360" s="17" t="s">
        <v>697</v>
      </c>
      <c r="F360" s="12">
        <v>6070</v>
      </c>
      <c r="G360" s="12">
        <f>F360*1000000</f>
        <v>6070000000</v>
      </c>
      <c r="H360" s="12">
        <v>698</v>
      </c>
      <c r="I360" s="12">
        <f>H360*1000000</f>
        <v>698000000</v>
      </c>
      <c r="J360" s="17" t="s">
        <v>698</v>
      </c>
      <c r="K360" s="12">
        <v>120000000</v>
      </c>
      <c r="L360" s="4">
        <v>32800</v>
      </c>
      <c r="M360" s="4">
        <v>800</v>
      </c>
      <c r="N360" s="13">
        <v>1</v>
      </c>
      <c r="O360" s="18">
        <f>K360/G360</f>
        <v>1.9769357495881382E-2</v>
      </c>
      <c r="P360" s="19">
        <f>K360/I360</f>
        <v>0.17191977077363896</v>
      </c>
      <c r="Q360" s="13"/>
    </row>
    <row r="361" spans="1:17" x14ac:dyDescent="0.15">
      <c r="A361" s="22">
        <v>360</v>
      </c>
      <c r="B361" s="22">
        <v>3664</v>
      </c>
      <c r="C361" s="23">
        <v>17</v>
      </c>
      <c r="D361" s="24" t="s">
        <v>1486</v>
      </c>
      <c r="E361" s="24" t="s">
        <v>699</v>
      </c>
      <c r="F361" s="25">
        <v>11082</v>
      </c>
      <c r="G361" s="25">
        <f>F361*1000000</f>
        <v>11082000000</v>
      </c>
      <c r="H361" s="25">
        <v>216</v>
      </c>
      <c r="I361" s="25">
        <f>H361*1000000</f>
        <v>216000000</v>
      </c>
      <c r="J361" s="24" t="s">
        <v>700</v>
      </c>
      <c r="K361" s="25">
        <v>60153380</v>
      </c>
      <c r="L361" s="23" t="s">
        <v>63</v>
      </c>
      <c r="M361" s="23">
        <v>366</v>
      </c>
      <c r="N361" s="22">
        <v>0</v>
      </c>
      <c r="O361" s="26">
        <f>K361/G361</f>
        <v>5.4280256271431147E-3</v>
      </c>
      <c r="P361" s="27">
        <f>K361/I361</f>
        <v>0.27848787037037037</v>
      </c>
      <c r="Q361" s="22" t="b">
        <v>1</v>
      </c>
    </row>
    <row r="362" spans="1:17" x14ac:dyDescent="0.15">
      <c r="A362" s="13">
        <v>361</v>
      </c>
      <c r="B362" s="13">
        <v>3646</v>
      </c>
      <c r="C362" s="16">
        <v>2</v>
      </c>
      <c r="D362" s="17" t="s">
        <v>1471</v>
      </c>
      <c r="E362" s="17" t="s">
        <v>701</v>
      </c>
      <c r="F362" s="12">
        <v>1273</v>
      </c>
      <c r="G362" s="12">
        <f>F362*1000000</f>
        <v>1273000000</v>
      </c>
      <c r="H362" s="12">
        <v>208</v>
      </c>
      <c r="I362" s="12">
        <f>H362*1000000</f>
        <v>208000000</v>
      </c>
      <c r="J362" s="17" t="s">
        <v>702</v>
      </c>
      <c r="K362" s="12">
        <v>76000000</v>
      </c>
      <c r="L362" s="4">
        <v>10000</v>
      </c>
      <c r="M362" s="4">
        <v>600</v>
      </c>
      <c r="N362" s="13">
        <v>1</v>
      </c>
      <c r="O362" s="18">
        <f>K362/G362</f>
        <v>5.9701492537313432E-2</v>
      </c>
      <c r="P362" s="19">
        <f>K362/I362</f>
        <v>0.36538461538461536</v>
      </c>
      <c r="Q362" s="13"/>
    </row>
    <row r="363" spans="1:17" x14ac:dyDescent="0.15">
      <c r="A363" s="22">
        <v>362</v>
      </c>
      <c r="B363" s="22">
        <v>3622</v>
      </c>
      <c r="C363" s="23">
        <v>9</v>
      </c>
      <c r="D363" s="24" t="s">
        <v>1478</v>
      </c>
      <c r="E363" s="24" t="s">
        <v>703</v>
      </c>
      <c r="F363" s="25">
        <v>2431</v>
      </c>
      <c r="G363" s="25">
        <f>F363*1000000</f>
        <v>2431000000</v>
      </c>
      <c r="H363" s="25">
        <v>71</v>
      </c>
      <c r="I363" s="25">
        <f>H363*1000000</f>
        <v>71000000</v>
      </c>
      <c r="J363" s="24" t="s">
        <v>704</v>
      </c>
      <c r="K363" s="25">
        <v>28894911</v>
      </c>
      <c r="L363" s="23">
        <v>12100</v>
      </c>
      <c r="M363" s="23">
        <v>230</v>
      </c>
      <c r="N363" s="22">
        <v>0</v>
      </c>
      <c r="O363" s="26">
        <f>K363/G363</f>
        <v>1.1886018510900863E-2</v>
      </c>
      <c r="P363" s="27">
        <f>K363/I363</f>
        <v>0.40697057746478871</v>
      </c>
      <c r="Q363" s="22" t="b">
        <v>1</v>
      </c>
    </row>
    <row r="364" spans="1:17" x14ac:dyDescent="0.15">
      <c r="A364" s="13">
        <v>363</v>
      </c>
      <c r="B364" s="13">
        <v>3621</v>
      </c>
      <c r="C364" s="16">
        <v>12</v>
      </c>
      <c r="D364" s="17" t="s">
        <v>1481</v>
      </c>
      <c r="E364" s="17" t="s">
        <v>705</v>
      </c>
      <c r="F364" s="12">
        <v>4452</v>
      </c>
      <c r="G364" s="12">
        <f>F364*1000000</f>
        <v>4452000000</v>
      </c>
      <c r="H364" s="12">
        <v>131</v>
      </c>
      <c r="I364" s="12">
        <f>H364*1000000</f>
        <v>131000000</v>
      </c>
      <c r="J364" s="17" t="s">
        <v>706</v>
      </c>
      <c r="K364" s="12">
        <v>10000000</v>
      </c>
      <c r="L364" s="4">
        <v>22000</v>
      </c>
      <c r="M364" s="4">
        <v>200</v>
      </c>
      <c r="N364" s="13">
        <v>1</v>
      </c>
      <c r="O364" s="18">
        <f>K364/G364</f>
        <v>2.2461814914645105E-3</v>
      </c>
      <c r="P364" s="19">
        <f>K364/I364</f>
        <v>7.6335877862595422E-2</v>
      </c>
      <c r="Q364" s="13"/>
    </row>
    <row r="365" spans="1:17" x14ac:dyDescent="0.15">
      <c r="A365" s="13">
        <v>364</v>
      </c>
      <c r="B365" s="13">
        <v>3620</v>
      </c>
      <c r="C365" s="16">
        <v>12</v>
      </c>
      <c r="D365" s="17" t="s">
        <v>1481</v>
      </c>
      <c r="E365" s="17" t="s">
        <v>707</v>
      </c>
      <c r="F365" s="12">
        <v>1373</v>
      </c>
      <c r="G365" s="12">
        <f>F365*1000000</f>
        <v>1373000000</v>
      </c>
      <c r="H365" s="12">
        <v>96</v>
      </c>
      <c r="I365" s="12">
        <f>H365*1000000</f>
        <v>96000000</v>
      </c>
      <c r="J365" s="17" t="s">
        <v>25</v>
      </c>
      <c r="K365" s="12">
        <v>40000000</v>
      </c>
      <c r="L365" s="4">
        <v>9300</v>
      </c>
      <c r="M365" s="4">
        <v>270</v>
      </c>
      <c r="N365" s="13">
        <v>1</v>
      </c>
      <c r="O365" s="18">
        <f>K365/G365</f>
        <v>2.9133284777858703E-2</v>
      </c>
      <c r="P365" s="19">
        <f>K365/I365</f>
        <v>0.41666666666666669</v>
      </c>
      <c r="Q365" s="13"/>
    </row>
    <row r="366" spans="1:17" x14ac:dyDescent="0.15">
      <c r="A366" s="13">
        <v>365</v>
      </c>
      <c r="B366" s="13">
        <v>3619</v>
      </c>
      <c r="C366" s="16">
        <v>4</v>
      </c>
      <c r="D366" s="17" t="s">
        <v>1473</v>
      </c>
      <c r="E366" s="17" t="s">
        <v>708</v>
      </c>
      <c r="F366" s="12">
        <v>3500</v>
      </c>
      <c r="G366" s="12">
        <f>F366*1000000</f>
        <v>3500000000</v>
      </c>
      <c r="H366" s="12">
        <v>225</v>
      </c>
      <c r="I366" s="12">
        <f>H366*1000000</f>
        <v>225000000</v>
      </c>
      <c r="J366" s="17" t="s">
        <v>709</v>
      </c>
      <c r="K366" s="12">
        <v>40000000</v>
      </c>
      <c r="L366" s="4">
        <v>53000</v>
      </c>
      <c r="M366" s="4">
        <v>400</v>
      </c>
      <c r="N366" s="13">
        <v>1</v>
      </c>
      <c r="O366" s="18">
        <f>K366/G366</f>
        <v>1.1428571428571429E-2</v>
      </c>
      <c r="P366" s="19">
        <f>K366/I366</f>
        <v>0.17777777777777778</v>
      </c>
      <c r="Q366" s="13"/>
    </row>
    <row r="367" spans="1:17" x14ac:dyDescent="0.15">
      <c r="A367" s="13">
        <v>366</v>
      </c>
      <c r="B367" s="13">
        <v>3605</v>
      </c>
      <c r="C367" s="16">
        <v>19</v>
      </c>
      <c r="D367" s="17" t="s">
        <v>1488</v>
      </c>
      <c r="E367" s="17" t="s">
        <v>710</v>
      </c>
      <c r="F367" s="12">
        <v>16137</v>
      </c>
      <c r="G367" s="12">
        <f>F367*1000000</f>
        <v>16137000000</v>
      </c>
      <c r="H367" s="12">
        <v>402</v>
      </c>
      <c r="I367" s="12">
        <f>H367*1000000</f>
        <v>402000000</v>
      </c>
      <c r="J367" s="17" t="s">
        <v>711</v>
      </c>
      <c r="K367" s="12">
        <v>1400000000</v>
      </c>
      <c r="L367" s="4">
        <v>109800</v>
      </c>
      <c r="M367" s="4">
        <v>7358</v>
      </c>
      <c r="N367" s="13">
        <v>1</v>
      </c>
      <c r="O367" s="18">
        <f>K367/G367</f>
        <v>8.6757141971865903E-2</v>
      </c>
      <c r="P367" s="19">
        <f>K367/I367</f>
        <v>3.4825870646766171</v>
      </c>
      <c r="Q367" s="13"/>
    </row>
    <row r="368" spans="1:17" x14ac:dyDescent="0.15">
      <c r="A368" s="13">
        <v>367</v>
      </c>
      <c r="B368" s="13">
        <v>3604</v>
      </c>
      <c r="C368" s="16">
        <v>3</v>
      </c>
      <c r="D368" s="17" t="s">
        <v>1472</v>
      </c>
      <c r="E368" s="17" t="s">
        <v>712</v>
      </c>
      <c r="F368" s="12">
        <v>3100</v>
      </c>
      <c r="G368" s="12">
        <f>F368*1000000</f>
        <v>3100000000</v>
      </c>
      <c r="H368" s="12">
        <v>187</v>
      </c>
      <c r="I368" s="12">
        <f>H368*1000000</f>
        <v>187000000</v>
      </c>
      <c r="J368" s="17" t="s">
        <v>713</v>
      </c>
      <c r="K368" s="12">
        <v>32000000</v>
      </c>
      <c r="L368" s="4">
        <v>17000</v>
      </c>
      <c r="M368" s="4">
        <v>350</v>
      </c>
      <c r="N368" s="13">
        <v>1</v>
      </c>
      <c r="O368" s="18">
        <f>K368/G368</f>
        <v>1.032258064516129E-2</v>
      </c>
      <c r="P368" s="19">
        <f>K368/I368</f>
        <v>0.17112299465240641</v>
      </c>
      <c r="Q368" s="13"/>
    </row>
    <row r="369" spans="1:18" x14ac:dyDescent="0.15">
      <c r="A369" s="13">
        <v>368</v>
      </c>
      <c r="B369" s="13">
        <v>3586</v>
      </c>
      <c r="C369" s="16">
        <v>20</v>
      </c>
      <c r="D369" s="17" t="s">
        <v>1489</v>
      </c>
      <c r="E369" s="17" t="s">
        <v>714</v>
      </c>
      <c r="F369" s="12">
        <v>5423</v>
      </c>
      <c r="G369" s="12">
        <f>F369*1000000</f>
        <v>5423000000</v>
      </c>
      <c r="H369" s="12">
        <v>519</v>
      </c>
      <c r="I369" s="12">
        <f>H369*1000000</f>
        <v>519000000</v>
      </c>
      <c r="J369" s="17" t="s">
        <v>715</v>
      </c>
      <c r="K369" s="12">
        <v>144000000</v>
      </c>
      <c r="L369" s="4">
        <v>11320</v>
      </c>
      <c r="M369" s="4">
        <v>600</v>
      </c>
      <c r="N369" s="13">
        <v>1</v>
      </c>
      <c r="O369" s="18">
        <f>K369/G369</f>
        <v>2.6553568135718238E-2</v>
      </c>
      <c r="P369" s="19">
        <f>K369/I369</f>
        <v>0.2774566473988439</v>
      </c>
      <c r="Q369" s="13"/>
    </row>
    <row r="370" spans="1:18" x14ac:dyDescent="0.15">
      <c r="A370" s="13">
        <v>369</v>
      </c>
      <c r="B370" s="13">
        <v>3575</v>
      </c>
      <c r="C370" s="16">
        <v>20</v>
      </c>
      <c r="D370" s="17" t="s">
        <v>1489</v>
      </c>
      <c r="E370" s="17" t="s">
        <v>716</v>
      </c>
      <c r="F370" s="12">
        <v>3650</v>
      </c>
      <c r="G370" s="12">
        <f>F370*1000000</f>
        <v>3650000000</v>
      </c>
      <c r="H370" s="12">
        <v>355</v>
      </c>
      <c r="I370" s="12">
        <f>H370*1000000</f>
        <v>355000000</v>
      </c>
      <c r="J370" s="17" t="s">
        <v>717</v>
      </c>
      <c r="K370" s="12">
        <v>80100000</v>
      </c>
      <c r="L370" s="4">
        <v>10500</v>
      </c>
      <c r="M370" s="4">
        <v>381</v>
      </c>
      <c r="N370" s="13">
        <v>1</v>
      </c>
      <c r="O370" s="18">
        <f>K370/G370</f>
        <v>2.1945205479452053E-2</v>
      </c>
      <c r="P370" s="19">
        <f>K370/I370</f>
        <v>0.2256338028169014</v>
      </c>
      <c r="Q370" s="13"/>
    </row>
    <row r="371" spans="1:18" x14ac:dyDescent="0.15">
      <c r="A371" s="13">
        <v>370</v>
      </c>
      <c r="B371" s="13">
        <v>3555</v>
      </c>
      <c r="C371" s="16">
        <v>19</v>
      </c>
      <c r="D371" s="17" t="s">
        <v>1488</v>
      </c>
      <c r="E371" s="17" t="s">
        <v>718</v>
      </c>
      <c r="F371" s="12">
        <v>4681</v>
      </c>
      <c r="G371" s="12">
        <f>F371*1000000</f>
        <v>4681000000</v>
      </c>
      <c r="H371" s="12">
        <v>60</v>
      </c>
      <c r="I371" s="12">
        <f>H371*1000000</f>
        <v>60000000</v>
      </c>
      <c r="J371" s="17" t="s">
        <v>719</v>
      </c>
      <c r="K371" s="12">
        <v>111000000</v>
      </c>
      <c r="L371" s="4">
        <v>40900</v>
      </c>
      <c r="M371" s="4">
        <v>807</v>
      </c>
      <c r="N371" s="13">
        <v>1</v>
      </c>
      <c r="O371" s="18">
        <f>K371/G371</f>
        <v>2.3712881862849818E-2</v>
      </c>
      <c r="P371" s="19">
        <f>K371/I371</f>
        <v>1.85</v>
      </c>
      <c r="Q371" s="13"/>
    </row>
    <row r="372" spans="1:18" x14ac:dyDescent="0.15">
      <c r="A372" s="22">
        <v>371</v>
      </c>
      <c r="B372" s="22">
        <v>3554</v>
      </c>
      <c r="C372" s="23">
        <v>10</v>
      </c>
      <c r="D372" s="24" t="s">
        <v>1479</v>
      </c>
      <c r="E372" s="24" t="s">
        <v>720</v>
      </c>
      <c r="F372" s="25">
        <v>5790</v>
      </c>
      <c r="G372" s="25">
        <f>F372*1000000</f>
        <v>5790000000</v>
      </c>
      <c r="H372" s="25">
        <v>34</v>
      </c>
      <c r="I372" s="25">
        <f>H372*1000000</f>
        <v>34000000</v>
      </c>
      <c r="J372" s="24" t="s">
        <v>721</v>
      </c>
      <c r="K372" s="25">
        <v>118743863</v>
      </c>
      <c r="L372" s="23">
        <v>3700</v>
      </c>
      <c r="M372" s="23">
        <v>178</v>
      </c>
      <c r="N372" s="22">
        <v>0</v>
      </c>
      <c r="O372" s="26">
        <f>K372/G372</f>
        <v>2.0508439205526769E-2</v>
      </c>
      <c r="P372" s="27">
        <f>K372/I372</f>
        <v>3.4924665588235295</v>
      </c>
      <c r="Q372" s="22" t="b">
        <v>1</v>
      </c>
    </row>
    <row r="373" spans="1:18" x14ac:dyDescent="0.15">
      <c r="A373" s="13">
        <v>372</v>
      </c>
      <c r="B373" s="13">
        <v>3544</v>
      </c>
      <c r="C373" s="16">
        <v>11</v>
      </c>
      <c r="D373" s="17" t="s">
        <v>1480</v>
      </c>
      <c r="E373" s="17" t="s">
        <v>722</v>
      </c>
      <c r="F373" s="12">
        <v>2005</v>
      </c>
      <c r="G373" s="12">
        <f>F373*1000000</f>
        <v>2005000000</v>
      </c>
      <c r="H373" s="12">
        <v>99</v>
      </c>
      <c r="I373" s="12">
        <f>H373*1000000</f>
        <v>99000000</v>
      </c>
      <c r="J373" s="17" t="s">
        <v>723</v>
      </c>
      <c r="K373" s="12">
        <v>113000000</v>
      </c>
      <c r="L373" s="4">
        <v>4600</v>
      </c>
      <c r="M373" s="4">
        <v>313</v>
      </c>
      <c r="N373" s="13">
        <v>1</v>
      </c>
      <c r="O373" s="18">
        <f>K373/G373</f>
        <v>5.6359102244389024E-2</v>
      </c>
      <c r="P373" s="19">
        <f>K373/I373</f>
        <v>1.1414141414141414</v>
      </c>
      <c r="Q373" s="13"/>
    </row>
    <row r="374" spans="1:18" x14ac:dyDescent="0.15">
      <c r="A374" s="13">
        <v>373</v>
      </c>
      <c r="B374" s="13">
        <v>3524</v>
      </c>
      <c r="C374" s="16">
        <v>14</v>
      </c>
      <c r="D374" s="17" t="s">
        <v>1483</v>
      </c>
      <c r="E374" s="17" t="s">
        <v>724</v>
      </c>
      <c r="F374" s="12">
        <v>1200</v>
      </c>
      <c r="G374" s="12">
        <f>F374*1000000</f>
        <v>1200000000</v>
      </c>
      <c r="H374" s="13" t="s">
        <v>63</v>
      </c>
      <c r="I374" s="12" t="e">
        <f>H374*1000000</f>
        <v>#VALUE!</v>
      </c>
      <c r="J374" s="17" t="s">
        <v>725</v>
      </c>
      <c r="K374" s="12">
        <v>20000000</v>
      </c>
      <c r="L374" s="4">
        <v>5000</v>
      </c>
      <c r="M374" s="4">
        <v>100</v>
      </c>
      <c r="N374" s="13">
        <v>1</v>
      </c>
      <c r="O374" s="18">
        <f>K374/G374</f>
        <v>1.6666666666666666E-2</v>
      </c>
      <c r="P374" s="19" t="e">
        <f>K374/I374</f>
        <v>#VALUE!</v>
      </c>
      <c r="Q374" s="13"/>
    </row>
    <row r="375" spans="1:18" x14ac:dyDescent="0.15">
      <c r="A375" s="13">
        <v>374</v>
      </c>
      <c r="B375" s="13">
        <v>3516</v>
      </c>
      <c r="C375" s="16">
        <v>20</v>
      </c>
      <c r="D375" s="17" t="s">
        <v>1489</v>
      </c>
      <c r="E375" s="17" t="s">
        <v>726</v>
      </c>
      <c r="F375" s="12">
        <v>8345</v>
      </c>
      <c r="G375" s="12">
        <f>F375*1000000</f>
        <v>8345000000</v>
      </c>
      <c r="H375" s="12">
        <v>681</v>
      </c>
      <c r="I375" s="12">
        <f>H375*1000000</f>
        <v>681000000</v>
      </c>
      <c r="J375" s="17" t="s">
        <v>727</v>
      </c>
      <c r="K375" s="12">
        <v>130000000</v>
      </c>
      <c r="L375" s="4">
        <v>16500</v>
      </c>
      <c r="M375" s="4">
        <v>1500</v>
      </c>
      <c r="N375" s="13">
        <v>1</v>
      </c>
      <c r="O375" s="18">
        <f>K375/G375</f>
        <v>1.5578190533253445E-2</v>
      </c>
      <c r="P375" s="19">
        <f>K375/I375</f>
        <v>0.19089574155653452</v>
      </c>
      <c r="Q375" s="13"/>
    </row>
    <row r="376" spans="1:18" x14ac:dyDescent="0.15">
      <c r="A376" s="7">
        <v>375</v>
      </c>
      <c r="B376" s="7">
        <v>3513</v>
      </c>
      <c r="C376" s="8">
        <v>12</v>
      </c>
      <c r="D376" s="9" t="s">
        <v>1481</v>
      </c>
      <c r="E376" s="9" t="s">
        <v>728</v>
      </c>
      <c r="F376" s="10">
        <v>22710</v>
      </c>
      <c r="G376" s="10">
        <f>F376*1000000</f>
        <v>22710000000</v>
      </c>
      <c r="H376" s="10">
        <v>65</v>
      </c>
      <c r="I376" s="10">
        <f>H376*1000000</f>
        <v>65000000</v>
      </c>
      <c r="J376" s="9" t="s">
        <v>729</v>
      </c>
      <c r="K376" s="10">
        <v>28672297</v>
      </c>
      <c r="L376" s="8">
        <v>9350</v>
      </c>
      <c r="M376" s="8">
        <v>195</v>
      </c>
      <c r="N376" s="7">
        <v>0</v>
      </c>
      <c r="O376" s="14">
        <f>K376/G376</f>
        <v>1.2625405988551299E-3</v>
      </c>
      <c r="P376" s="15">
        <f>K376/I376</f>
        <v>0.44111226153846156</v>
      </c>
      <c r="Q376" s="7"/>
    </row>
    <row r="377" spans="1:18" x14ac:dyDescent="0.15">
      <c r="A377" s="22">
        <v>376</v>
      </c>
      <c r="B377" s="22">
        <v>3507</v>
      </c>
      <c r="C377" s="23">
        <v>11</v>
      </c>
      <c r="D377" s="24" t="s">
        <v>1480</v>
      </c>
      <c r="E377" s="24" t="s">
        <v>730</v>
      </c>
      <c r="F377" s="25">
        <v>1679</v>
      </c>
      <c r="G377" s="25">
        <f>F377*1000000</f>
        <v>1679000000</v>
      </c>
      <c r="H377" s="25">
        <v>151</v>
      </c>
      <c r="I377" s="25">
        <f>H377*1000000</f>
        <v>151000000</v>
      </c>
      <c r="J377" s="24" t="s">
        <v>731</v>
      </c>
      <c r="K377" s="25">
        <v>31374014</v>
      </c>
      <c r="L377" s="23">
        <v>5600</v>
      </c>
      <c r="M377" s="23">
        <v>262</v>
      </c>
      <c r="N377" s="22">
        <v>0</v>
      </c>
      <c r="O377" s="26">
        <f>K377/G377</f>
        <v>1.8686131030375225E-2</v>
      </c>
      <c r="P377" s="27">
        <f>K377/I377</f>
        <v>0.20777492715231788</v>
      </c>
      <c r="Q377" s="22" t="b">
        <v>1</v>
      </c>
    </row>
    <row r="378" spans="1:18" x14ac:dyDescent="0.15">
      <c r="A378" s="28">
        <v>377</v>
      </c>
      <c r="B378" s="28">
        <v>3507</v>
      </c>
      <c r="C378" s="29">
        <v>17</v>
      </c>
      <c r="D378" s="30" t="s">
        <v>1486</v>
      </c>
      <c r="E378" s="30" t="s">
        <v>732</v>
      </c>
      <c r="F378" s="31">
        <v>18355</v>
      </c>
      <c r="G378" s="31">
        <f>F378*1000000</f>
        <v>18355000000</v>
      </c>
      <c r="H378" s="31">
        <v>345</v>
      </c>
      <c r="I378" s="31">
        <f>H378*1000000</f>
        <v>345000000</v>
      </c>
      <c r="J378" s="30" t="s">
        <v>733</v>
      </c>
      <c r="K378" s="28" t="e">
        <v>#N/A</v>
      </c>
      <c r="L378" s="29">
        <v>118000</v>
      </c>
      <c r="M378" s="29" t="s">
        <v>63</v>
      </c>
      <c r="N378" s="28">
        <v>1</v>
      </c>
      <c r="O378" s="32" t="e">
        <f>K378/G378</f>
        <v>#N/A</v>
      </c>
      <c r="P378" s="33" t="e">
        <f>K378/I378</f>
        <v>#N/A</v>
      </c>
      <c r="Q378" s="28"/>
      <c r="R378" s="28" t="b">
        <v>1</v>
      </c>
    </row>
    <row r="379" spans="1:18" x14ac:dyDescent="0.15">
      <c r="A379" s="13">
        <v>378</v>
      </c>
      <c r="B379" s="13">
        <v>3462</v>
      </c>
      <c r="C379" s="16">
        <v>9</v>
      </c>
      <c r="D379" s="17" t="s">
        <v>1478</v>
      </c>
      <c r="E379" s="17" t="s">
        <v>734</v>
      </c>
      <c r="F379" s="12">
        <v>3842</v>
      </c>
      <c r="G379" s="12">
        <f>F379*1000000</f>
        <v>3842000000</v>
      </c>
      <c r="H379" s="12">
        <v>68</v>
      </c>
      <c r="I379" s="12">
        <f>H379*1000000</f>
        <v>68000000</v>
      </c>
      <c r="J379" s="17" t="s">
        <v>735</v>
      </c>
      <c r="K379" s="12">
        <v>36900000</v>
      </c>
      <c r="L379" s="4">
        <v>40000</v>
      </c>
      <c r="M379" s="4">
        <v>400</v>
      </c>
      <c r="N379" s="13">
        <v>1</v>
      </c>
      <c r="O379" s="18">
        <f>K379/G379</f>
        <v>9.6043727225403434E-3</v>
      </c>
      <c r="P379" s="19">
        <f>K379/I379</f>
        <v>0.54264705882352937</v>
      </c>
      <c r="Q379" s="13"/>
    </row>
    <row r="380" spans="1:18" x14ac:dyDescent="0.15">
      <c r="A380" s="13">
        <v>379</v>
      </c>
      <c r="B380" s="13">
        <v>3455</v>
      </c>
      <c r="C380" s="16">
        <v>1</v>
      </c>
      <c r="D380" s="17" t="s">
        <v>1470</v>
      </c>
      <c r="E380" s="17" t="s">
        <v>736</v>
      </c>
      <c r="F380" s="12">
        <v>1058</v>
      </c>
      <c r="G380" s="12">
        <f>F380*1000000</f>
        <v>1058000000</v>
      </c>
      <c r="H380" s="12">
        <v>60</v>
      </c>
      <c r="I380" s="12">
        <f>H380*1000000</f>
        <v>60000000</v>
      </c>
      <c r="J380" s="17" t="s">
        <v>737</v>
      </c>
      <c r="K380" s="12">
        <v>38500000</v>
      </c>
      <c r="L380" s="4">
        <v>8582</v>
      </c>
      <c r="M380" s="4">
        <v>270</v>
      </c>
      <c r="N380" s="13">
        <v>1</v>
      </c>
      <c r="O380" s="18">
        <f>K380/G380</f>
        <v>3.6389413988657845E-2</v>
      </c>
      <c r="P380" s="19">
        <f>K380/I380</f>
        <v>0.64166666666666672</v>
      </c>
      <c r="Q380" s="13"/>
    </row>
    <row r="381" spans="1:18" x14ac:dyDescent="0.15">
      <c r="A381" s="22">
        <v>380</v>
      </c>
      <c r="B381" s="22">
        <v>3449</v>
      </c>
      <c r="C381" s="23">
        <v>15</v>
      </c>
      <c r="D381" s="24" t="s">
        <v>1484</v>
      </c>
      <c r="E381" s="24" t="s">
        <v>738</v>
      </c>
      <c r="F381" s="25">
        <v>4657</v>
      </c>
      <c r="G381" s="25">
        <f>F381*1000000</f>
        <v>4657000000</v>
      </c>
      <c r="H381" s="25">
        <v>922</v>
      </c>
      <c r="I381" s="25">
        <f>H381*1000000</f>
        <v>922000000</v>
      </c>
      <c r="J381" s="24" t="s">
        <v>739</v>
      </c>
      <c r="K381" s="25">
        <v>113251018</v>
      </c>
      <c r="L381" s="23">
        <v>21600</v>
      </c>
      <c r="M381" s="23">
        <v>766</v>
      </c>
      <c r="N381" s="22">
        <v>0</v>
      </c>
      <c r="O381" s="26">
        <f>K381/G381</f>
        <v>2.4318449216233627E-2</v>
      </c>
      <c r="P381" s="27">
        <f>K381/I381</f>
        <v>0.12283190672451193</v>
      </c>
      <c r="Q381" s="22" t="b">
        <v>1</v>
      </c>
    </row>
    <row r="382" spans="1:18" x14ac:dyDescent="0.15">
      <c r="A382" s="7">
        <v>381</v>
      </c>
      <c r="B382" s="7">
        <v>3422</v>
      </c>
      <c r="C382" s="8">
        <v>8</v>
      </c>
      <c r="D382" s="9" t="s">
        <v>1477</v>
      </c>
      <c r="E382" s="9" t="s">
        <v>740</v>
      </c>
      <c r="F382" s="10">
        <v>5006</v>
      </c>
      <c r="G382" s="10">
        <f>F382*1000000</f>
        <v>5006000000</v>
      </c>
      <c r="H382" s="10">
        <v>741</v>
      </c>
      <c r="I382" s="10">
        <f>H382*1000000</f>
        <v>741000000</v>
      </c>
      <c r="J382" s="9" t="s">
        <v>741</v>
      </c>
      <c r="K382" s="10">
        <v>386928758</v>
      </c>
      <c r="L382" s="8">
        <v>26564</v>
      </c>
      <c r="M382" s="8">
        <v>1032</v>
      </c>
      <c r="N382" s="7">
        <v>0</v>
      </c>
      <c r="O382" s="14">
        <f>K382/G382</f>
        <v>7.7293000000000001E-2</v>
      </c>
      <c r="P382" s="15">
        <f>K382/I382</f>
        <v>0.52217106342780029</v>
      </c>
      <c r="Q382" s="7"/>
    </row>
    <row r="383" spans="1:18" x14ac:dyDescent="0.15">
      <c r="A383" s="13">
        <v>382</v>
      </c>
      <c r="B383" s="13">
        <v>3393</v>
      </c>
      <c r="C383" s="16">
        <v>17</v>
      </c>
      <c r="D383" s="17" t="s">
        <v>1486</v>
      </c>
      <c r="E383" s="17" t="s">
        <v>742</v>
      </c>
      <c r="F383" s="12">
        <v>775</v>
      </c>
      <c r="G383" s="12">
        <f>F383*1000000</f>
        <v>775000000</v>
      </c>
      <c r="H383" s="13" t="s">
        <v>63</v>
      </c>
      <c r="I383" s="12" t="e">
        <f>H383*1000000</f>
        <v>#VALUE!</v>
      </c>
      <c r="J383" s="17" t="s">
        <v>743</v>
      </c>
      <c r="K383" s="12">
        <v>4500000</v>
      </c>
      <c r="L383" s="4">
        <v>14000</v>
      </c>
      <c r="M383" s="4">
        <v>71</v>
      </c>
      <c r="N383" s="13">
        <v>1</v>
      </c>
      <c r="O383" s="18">
        <f>K383/G383</f>
        <v>5.8064516129032262E-3</v>
      </c>
      <c r="P383" s="19" t="e">
        <f>K383/I383</f>
        <v>#VALUE!</v>
      </c>
      <c r="Q383" s="13"/>
    </row>
    <row r="384" spans="1:18" x14ac:dyDescent="0.15">
      <c r="A384" s="22">
        <v>383</v>
      </c>
      <c r="B384" s="22">
        <v>3391</v>
      </c>
      <c r="C384" s="23">
        <v>11</v>
      </c>
      <c r="D384" s="24" t="s">
        <v>1480</v>
      </c>
      <c r="E384" s="24" t="s">
        <v>744</v>
      </c>
      <c r="F384" s="25">
        <v>4944</v>
      </c>
      <c r="G384" s="25">
        <f>F384*1000000</f>
        <v>4944000000</v>
      </c>
      <c r="H384" s="25">
        <v>451</v>
      </c>
      <c r="I384" s="25">
        <f>H384*1000000</f>
        <v>451000000</v>
      </c>
      <c r="J384" s="24" t="s">
        <v>745</v>
      </c>
      <c r="K384" s="25">
        <v>92384233</v>
      </c>
      <c r="L384" s="23">
        <v>22000</v>
      </c>
      <c r="M384" s="23">
        <v>771</v>
      </c>
      <c r="N384" s="22">
        <v>0</v>
      </c>
      <c r="O384" s="26">
        <f>K384/G384</f>
        <v>1.8686131270226537E-2</v>
      </c>
      <c r="P384" s="27">
        <f>K384/I384</f>
        <v>0.20484308869179602</v>
      </c>
      <c r="Q384" s="22" t="b">
        <v>1</v>
      </c>
    </row>
    <row r="385" spans="1:18" x14ac:dyDescent="0.15">
      <c r="A385" s="22">
        <v>384</v>
      </c>
      <c r="B385" s="22">
        <v>3387</v>
      </c>
      <c r="C385" s="23">
        <v>12</v>
      </c>
      <c r="D385" s="24" t="s">
        <v>1481</v>
      </c>
      <c r="E385" s="24" t="s">
        <v>746</v>
      </c>
      <c r="F385" s="25">
        <v>1073</v>
      </c>
      <c r="G385" s="25">
        <f>F385*1000000</f>
        <v>1073000000</v>
      </c>
      <c r="H385" s="25">
        <v>28</v>
      </c>
      <c r="I385" s="25">
        <f>H385*1000000</f>
        <v>28000000</v>
      </c>
      <c r="J385" s="24" t="s">
        <v>747</v>
      </c>
      <c r="K385" s="25">
        <v>13547061</v>
      </c>
      <c r="L385" s="23">
        <v>13800</v>
      </c>
      <c r="M385" s="23">
        <v>92</v>
      </c>
      <c r="N385" s="22">
        <v>0</v>
      </c>
      <c r="O385" s="26">
        <f>K385/G385</f>
        <v>1.2625406337371855E-2</v>
      </c>
      <c r="P385" s="27">
        <f>K385/I385</f>
        <v>0.48382360714285716</v>
      </c>
      <c r="Q385" s="22" t="b">
        <v>1</v>
      </c>
    </row>
    <row r="386" spans="1:18" x14ac:dyDescent="0.15">
      <c r="A386" s="22">
        <v>385</v>
      </c>
      <c r="B386" s="22">
        <v>3379</v>
      </c>
      <c r="C386" s="23">
        <v>12</v>
      </c>
      <c r="D386" s="24" t="s">
        <v>1481</v>
      </c>
      <c r="E386" s="24" t="s">
        <v>748</v>
      </c>
      <c r="F386" s="25">
        <v>8507</v>
      </c>
      <c r="G386" s="25">
        <f>F386*1000000</f>
        <v>8507000000</v>
      </c>
      <c r="H386" s="25">
        <v>192</v>
      </c>
      <c r="I386" s="25">
        <f>H386*1000000</f>
        <v>192000000</v>
      </c>
      <c r="J386" s="24" t="s">
        <v>749</v>
      </c>
      <c r="K386" s="25">
        <v>107404331</v>
      </c>
      <c r="L386" s="23">
        <v>39807</v>
      </c>
      <c r="M386" s="23">
        <v>732</v>
      </c>
      <c r="N386" s="22">
        <v>0</v>
      </c>
      <c r="O386" s="26">
        <f>K386/G386</f>
        <v>1.2625406253673446E-2</v>
      </c>
      <c r="P386" s="27">
        <f>K386/I386</f>
        <v>0.55939755729166663</v>
      </c>
      <c r="Q386" s="22" t="b">
        <v>1</v>
      </c>
    </row>
    <row r="387" spans="1:18" x14ac:dyDescent="0.15">
      <c r="A387" s="13">
        <v>386</v>
      </c>
      <c r="B387" s="13">
        <v>3370</v>
      </c>
      <c r="C387" s="16">
        <v>11</v>
      </c>
      <c r="D387" s="17" t="s">
        <v>1480</v>
      </c>
      <c r="E387" s="17" t="s">
        <v>750</v>
      </c>
      <c r="F387" s="12">
        <v>1120</v>
      </c>
      <c r="G387" s="12">
        <f>F387*1000000</f>
        <v>1120000000</v>
      </c>
      <c r="H387" s="13" t="s">
        <v>63</v>
      </c>
      <c r="I387" s="12" t="e">
        <f>H387*1000000</f>
        <v>#VALUE!</v>
      </c>
      <c r="J387" s="17" t="s">
        <v>751</v>
      </c>
      <c r="K387" s="12">
        <v>10000000</v>
      </c>
      <c r="L387" s="4">
        <v>13000</v>
      </c>
      <c r="M387" s="4">
        <v>100</v>
      </c>
      <c r="N387" s="13">
        <v>1</v>
      </c>
      <c r="O387" s="18">
        <f>K387/G387</f>
        <v>8.9285714285714281E-3</v>
      </c>
      <c r="P387" s="19" t="e">
        <f>K387/I387</f>
        <v>#VALUE!</v>
      </c>
      <c r="Q387" s="13"/>
    </row>
    <row r="388" spans="1:18" x14ac:dyDescent="0.15">
      <c r="A388" s="13">
        <v>387</v>
      </c>
      <c r="B388" s="13">
        <v>3355</v>
      </c>
      <c r="C388" s="16">
        <v>8</v>
      </c>
      <c r="D388" s="17" t="s">
        <v>1477</v>
      </c>
      <c r="E388" s="17" t="s">
        <v>752</v>
      </c>
      <c r="F388" s="12">
        <v>2998</v>
      </c>
      <c r="G388" s="12">
        <f>F388*1000000</f>
        <v>2998000000</v>
      </c>
      <c r="H388" s="12">
        <v>251</v>
      </c>
      <c r="I388" s="12">
        <f>H388*1000000</f>
        <v>251000000</v>
      </c>
      <c r="J388" s="17" t="s">
        <v>753</v>
      </c>
      <c r="K388" s="12">
        <v>145000000</v>
      </c>
      <c r="L388" s="4">
        <v>17029</v>
      </c>
      <c r="M388" s="4">
        <v>550</v>
      </c>
      <c r="N388" s="13">
        <v>1</v>
      </c>
      <c r="O388" s="18">
        <f>K388/G388</f>
        <v>4.8365577051367577E-2</v>
      </c>
      <c r="P388" s="19">
        <f>K388/I388</f>
        <v>0.57768924302788849</v>
      </c>
      <c r="Q388" s="13"/>
    </row>
    <row r="389" spans="1:18" x14ac:dyDescent="0.15">
      <c r="A389" s="28">
        <v>388</v>
      </c>
      <c r="B389" s="28">
        <v>3354</v>
      </c>
      <c r="C389" s="29">
        <v>1</v>
      </c>
      <c r="D389" s="30" t="s">
        <v>1470</v>
      </c>
      <c r="E389" s="30" t="s">
        <v>754</v>
      </c>
      <c r="F389" s="31">
        <v>1229</v>
      </c>
      <c r="G389" s="31">
        <f>F389*1000000</f>
        <v>1229000000</v>
      </c>
      <c r="H389" s="31">
        <v>82</v>
      </c>
      <c r="I389" s="31">
        <f>H389*1000000</f>
        <v>82000000</v>
      </c>
      <c r="J389" s="30" t="s">
        <v>88</v>
      </c>
      <c r="K389" s="28" t="e">
        <v>#N/A</v>
      </c>
      <c r="L389" s="29">
        <v>7300</v>
      </c>
      <c r="M389" s="29">
        <v>169</v>
      </c>
      <c r="N389" s="28">
        <v>1</v>
      </c>
      <c r="O389" s="32" t="e">
        <f>K389/G389</f>
        <v>#N/A</v>
      </c>
      <c r="P389" s="33" t="e">
        <f>K389/I389</f>
        <v>#N/A</v>
      </c>
      <c r="Q389" s="28"/>
      <c r="R389" s="28" t="b">
        <v>1</v>
      </c>
    </row>
    <row r="390" spans="1:18" x14ac:dyDescent="0.15">
      <c r="A390" s="13">
        <v>389</v>
      </c>
      <c r="B390" s="13">
        <v>3349</v>
      </c>
      <c r="C390" s="16">
        <v>19</v>
      </c>
      <c r="D390" s="17" t="s">
        <v>1488</v>
      </c>
      <c r="E390" s="17" t="s">
        <v>755</v>
      </c>
      <c r="F390" s="12">
        <v>8480</v>
      </c>
      <c r="G390" s="12">
        <f>F390*1000000</f>
        <v>8480000000</v>
      </c>
      <c r="H390" s="12">
        <v>204</v>
      </c>
      <c r="I390" s="12">
        <f>H390*1000000</f>
        <v>204000000</v>
      </c>
      <c r="J390" s="17" t="s">
        <v>756</v>
      </c>
      <c r="K390" s="12">
        <v>550000000</v>
      </c>
      <c r="L390" s="4">
        <v>110223</v>
      </c>
      <c r="M390" s="4">
        <v>5000</v>
      </c>
      <c r="N390" s="13">
        <v>1</v>
      </c>
      <c r="O390" s="18">
        <f>K390/G390</f>
        <v>6.4858490566037735E-2</v>
      </c>
      <c r="P390" s="19">
        <f>K390/I390</f>
        <v>2.6960784313725492</v>
      </c>
      <c r="Q390" s="13"/>
    </row>
    <row r="391" spans="1:18" x14ac:dyDescent="0.15">
      <c r="A391" s="13">
        <v>390</v>
      </c>
      <c r="B391" s="13">
        <v>3343</v>
      </c>
      <c r="C391" s="16">
        <v>12</v>
      </c>
      <c r="D391" s="17" t="s">
        <v>1481</v>
      </c>
      <c r="E391" s="17" t="s">
        <v>757</v>
      </c>
      <c r="F391" s="12">
        <v>1557</v>
      </c>
      <c r="G391" s="12">
        <f>F391*1000000</f>
        <v>1557000000</v>
      </c>
      <c r="H391" s="12">
        <v>79</v>
      </c>
      <c r="I391" s="12">
        <f>H391*1000000</f>
        <v>79000000</v>
      </c>
      <c r="J391" s="17" t="s">
        <v>758</v>
      </c>
      <c r="K391" s="12">
        <v>13200000</v>
      </c>
      <c r="L391" s="4">
        <v>8100</v>
      </c>
      <c r="M391" s="4">
        <v>123</v>
      </c>
      <c r="N391" s="13">
        <v>1</v>
      </c>
      <c r="O391" s="18">
        <f>K391/G391</f>
        <v>8.4778420038535644E-3</v>
      </c>
      <c r="P391" s="19">
        <f>K391/I391</f>
        <v>0.16708860759493671</v>
      </c>
      <c r="Q391" s="13"/>
    </row>
    <row r="392" spans="1:18" x14ac:dyDescent="0.15">
      <c r="A392" s="13">
        <v>391</v>
      </c>
      <c r="B392" s="13">
        <v>3338</v>
      </c>
      <c r="C392" s="16">
        <v>10</v>
      </c>
      <c r="D392" s="17" t="s">
        <v>1479</v>
      </c>
      <c r="E392" s="17" t="s">
        <v>759</v>
      </c>
      <c r="F392" s="12">
        <v>2473</v>
      </c>
      <c r="G392" s="12">
        <f>F392*1000000</f>
        <v>2473000000</v>
      </c>
      <c r="H392" s="12">
        <v>59</v>
      </c>
      <c r="I392" s="12">
        <f>H392*1000000</f>
        <v>59000000</v>
      </c>
      <c r="J392" s="17" t="s">
        <v>760</v>
      </c>
      <c r="K392" s="12">
        <v>103000000</v>
      </c>
      <c r="L392" s="4">
        <v>12000</v>
      </c>
      <c r="M392" s="4">
        <v>500</v>
      </c>
      <c r="N392" s="13">
        <v>1</v>
      </c>
      <c r="O392" s="18">
        <f>K392/G392</f>
        <v>4.1649818034775576E-2</v>
      </c>
      <c r="P392" s="19">
        <f>K392/I392</f>
        <v>1.7457627118644068</v>
      </c>
      <c r="Q392" s="13"/>
    </row>
    <row r="393" spans="1:18" x14ac:dyDescent="0.15">
      <c r="A393" s="22">
        <v>392</v>
      </c>
      <c r="B393" s="22">
        <v>3316</v>
      </c>
      <c r="C393" s="23">
        <v>5</v>
      </c>
      <c r="D393" s="24" t="s">
        <v>1474</v>
      </c>
      <c r="E393" s="24" t="s">
        <v>761</v>
      </c>
      <c r="F393" s="25">
        <v>1373</v>
      </c>
      <c r="G393" s="25">
        <f>F393*1000000</f>
        <v>1373000000</v>
      </c>
      <c r="H393" s="25">
        <v>57</v>
      </c>
      <c r="I393" s="25">
        <f>H393*1000000</f>
        <v>57000000</v>
      </c>
      <c r="J393" s="24" t="s">
        <v>762</v>
      </c>
      <c r="K393" s="25">
        <v>25763655</v>
      </c>
      <c r="L393" s="23" t="s">
        <v>63</v>
      </c>
      <c r="M393" s="23">
        <v>116</v>
      </c>
      <c r="N393" s="22">
        <v>0</v>
      </c>
      <c r="O393" s="26">
        <f>K393/G393</f>
        <v>1.8764497450837581E-2</v>
      </c>
      <c r="P393" s="27">
        <f>K393/I393</f>
        <v>0.45199394736842108</v>
      </c>
      <c r="Q393" s="22" t="b">
        <v>1</v>
      </c>
    </row>
    <row r="394" spans="1:18" x14ac:dyDescent="0.15">
      <c r="A394" s="22">
        <v>393</v>
      </c>
      <c r="B394" s="22">
        <v>3316</v>
      </c>
      <c r="C394" s="23">
        <v>4</v>
      </c>
      <c r="D394" s="24" t="s">
        <v>1473</v>
      </c>
      <c r="E394" s="24" t="s">
        <v>763</v>
      </c>
      <c r="F394" s="25">
        <v>9189</v>
      </c>
      <c r="G394" s="25">
        <f>F394*1000000</f>
        <v>9189000000</v>
      </c>
      <c r="H394" s="25">
        <v>231</v>
      </c>
      <c r="I394" s="25">
        <f>H394*1000000</f>
        <v>231000000</v>
      </c>
      <c r="J394" s="24" t="s">
        <v>764</v>
      </c>
      <c r="K394" s="25">
        <v>223223842</v>
      </c>
      <c r="L394" s="23">
        <v>12000</v>
      </c>
      <c r="M394" s="23">
        <v>800</v>
      </c>
      <c r="N394" s="22">
        <v>0</v>
      </c>
      <c r="O394" s="26">
        <f>K394/G394</f>
        <v>2.4292506475133313E-2</v>
      </c>
      <c r="P394" s="27">
        <f>K394/I394</f>
        <v>0.96633697835497834</v>
      </c>
      <c r="Q394" s="22" t="b">
        <v>1</v>
      </c>
    </row>
    <row r="395" spans="1:18" x14ac:dyDescent="0.15">
      <c r="A395" s="13">
        <v>394</v>
      </c>
      <c r="B395" s="13">
        <v>3315</v>
      </c>
      <c r="C395" s="16">
        <v>7</v>
      </c>
      <c r="D395" s="17" t="s">
        <v>1476</v>
      </c>
      <c r="E395" s="17" t="s">
        <v>765</v>
      </c>
      <c r="F395" s="12">
        <v>8984</v>
      </c>
      <c r="G395" s="12">
        <f>F395*1000000</f>
        <v>8984000000</v>
      </c>
      <c r="H395" s="12">
        <v>453</v>
      </c>
      <c r="I395" s="12">
        <f>H395*1000000</f>
        <v>453000000</v>
      </c>
      <c r="J395" s="17" t="s">
        <v>766</v>
      </c>
      <c r="K395" s="12">
        <v>151000000</v>
      </c>
      <c r="L395" s="4">
        <v>7000</v>
      </c>
      <c r="M395" s="4">
        <v>600</v>
      </c>
      <c r="N395" s="13">
        <v>1</v>
      </c>
      <c r="O395" s="18">
        <f>K395/G395</f>
        <v>1.6807658058771147E-2</v>
      </c>
      <c r="P395" s="19">
        <f>K395/I395</f>
        <v>0.33333333333333331</v>
      </c>
      <c r="Q395" s="13"/>
    </row>
    <row r="396" spans="1:18" x14ac:dyDescent="0.15">
      <c r="A396" s="22">
        <v>395</v>
      </c>
      <c r="B396" s="22">
        <v>3311</v>
      </c>
      <c r="C396" s="23">
        <v>15</v>
      </c>
      <c r="D396" s="24" t="s">
        <v>1484</v>
      </c>
      <c r="E396" s="24" t="s">
        <v>767</v>
      </c>
      <c r="F396" s="25">
        <v>2212</v>
      </c>
      <c r="G396" s="25">
        <f>F396*1000000</f>
        <v>2212000000</v>
      </c>
      <c r="H396" s="25">
        <v>180</v>
      </c>
      <c r="I396" s="25">
        <f>H396*1000000</f>
        <v>180000000</v>
      </c>
      <c r="J396" s="24" t="s">
        <v>768</v>
      </c>
      <c r="K396" s="25">
        <v>53792410</v>
      </c>
      <c r="L396" s="23">
        <v>10200</v>
      </c>
      <c r="M396" s="23">
        <v>364</v>
      </c>
      <c r="N396" s="22">
        <v>0</v>
      </c>
      <c r="O396" s="26">
        <f>K396/G396</f>
        <v>2.4318449367088608E-2</v>
      </c>
      <c r="P396" s="27">
        <f>K396/I396</f>
        <v>0.29884672222222225</v>
      </c>
      <c r="Q396" s="22" t="b">
        <v>1</v>
      </c>
    </row>
    <row r="397" spans="1:18" x14ac:dyDescent="0.15">
      <c r="A397" s="13">
        <v>396</v>
      </c>
      <c r="B397" s="13">
        <v>3304</v>
      </c>
      <c r="C397" s="16">
        <v>5</v>
      </c>
      <c r="D397" s="17" t="s">
        <v>1474</v>
      </c>
      <c r="E397" s="17" t="s">
        <v>769</v>
      </c>
      <c r="F397" s="12">
        <v>2789</v>
      </c>
      <c r="G397" s="12">
        <f>F397*1000000</f>
        <v>2789000000</v>
      </c>
      <c r="H397" s="12">
        <v>130</v>
      </c>
      <c r="I397" s="12">
        <f>H397*1000000</f>
        <v>130000000</v>
      </c>
      <c r="J397" s="17" t="s">
        <v>770</v>
      </c>
      <c r="K397" s="12">
        <v>34000000</v>
      </c>
      <c r="L397" s="4">
        <v>24200</v>
      </c>
      <c r="M397" s="4">
        <v>335</v>
      </c>
      <c r="N397" s="13">
        <v>1</v>
      </c>
      <c r="O397" s="18">
        <f>K397/G397</f>
        <v>1.2190749372534958E-2</v>
      </c>
      <c r="P397" s="19">
        <f>K397/I397</f>
        <v>0.26153846153846155</v>
      </c>
      <c r="Q397" s="13"/>
    </row>
    <row r="398" spans="1:18" x14ac:dyDescent="0.15">
      <c r="A398" s="22">
        <v>397</v>
      </c>
      <c r="B398" s="22">
        <v>3257</v>
      </c>
      <c r="C398" s="23">
        <v>12</v>
      </c>
      <c r="D398" s="24" t="s">
        <v>1481</v>
      </c>
      <c r="E398" s="24" t="s">
        <v>771</v>
      </c>
      <c r="F398" s="25">
        <v>991</v>
      </c>
      <c r="G398" s="25">
        <f>F398*1000000</f>
        <v>991000000</v>
      </c>
      <c r="H398" s="25">
        <v>38</v>
      </c>
      <c r="I398" s="25">
        <f>H398*1000000</f>
        <v>38000000</v>
      </c>
      <c r="J398" s="24" t="s">
        <v>772</v>
      </c>
      <c r="K398" s="25">
        <v>12511778</v>
      </c>
      <c r="L398" s="23">
        <v>5062</v>
      </c>
      <c r="M398" s="23">
        <v>85</v>
      </c>
      <c r="N398" s="22">
        <v>0</v>
      </c>
      <c r="O398" s="26">
        <f>K398/G398</f>
        <v>1.2625406659939454E-2</v>
      </c>
      <c r="P398" s="27">
        <f>K398/I398</f>
        <v>0.3292573157894737</v>
      </c>
      <c r="Q398" s="22" t="b">
        <v>1</v>
      </c>
    </row>
    <row r="399" spans="1:18" x14ac:dyDescent="0.15">
      <c r="A399" s="22">
        <v>398</v>
      </c>
      <c r="B399" s="22">
        <v>3256</v>
      </c>
      <c r="C399" s="23">
        <v>2</v>
      </c>
      <c r="D399" s="24" t="s">
        <v>1471</v>
      </c>
      <c r="E399" s="24" t="s">
        <v>773</v>
      </c>
      <c r="F399" s="25">
        <v>1058</v>
      </c>
      <c r="G399" s="25">
        <f>F399*1000000</f>
        <v>1058000000</v>
      </c>
      <c r="H399" s="25">
        <v>143</v>
      </c>
      <c r="I399" s="25">
        <f>H399*1000000</f>
        <v>143000000</v>
      </c>
      <c r="J399" s="24" t="s">
        <v>774</v>
      </c>
      <c r="K399" s="25">
        <v>51713808</v>
      </c>
      <c r="L399" s="23">
        <v>5663</v>
      </c>
      <c r="M399" s="23">
        <v>238</v>
      </c>
      <c r="N399" s="22">
        <v>0</v>
      </c>
      <c r="O399" s="26">
        <f>K399/G399</f>
        <v>4.8878835538752365E-2</v>
      </c>
      <c r="P399" s="27">
        <f>K399/I399</f>
        <v>0.361635020979021</v>
      </c>
      <c r="Q399" s="22" t="b">
        <v>1</v>
      </c>
    </row>
    <row r="400" spans="1:18" x14ac:dyDescent="0.15">
      <c r="A400" s="22">
        <v>399</v>
      </c>
      <c r="B400" s="22">
        <v>3247</v>
      </c>
      <c r="C400" s="23">
        <v>20</v>
      </c>
      <c r="D400" s="24" t="s">
        <v>1489</v>
      </c>
      <c r="E400" s="24" t="s">
        <v>775</v>
      </c>
      <c r="F400" s="25">
        <v>4491</v>
      </c>
      <c r="G400" s="25">
        <f>F400*1000000</f>
        <v>4491000000</v>
      </c>
      <c r="H400" s="25">
        <v>478</v>
      </c>
      <c r="I400" s="25">
        <f>H400*1000000</f>
        <v>478000000</v>
      </c>
      <c r="J400" s="24" t="s">
        <v>776</v>
      </c>
      <c r="K400" s="25">
        <v>100592549</v>
      </c>
      <c r="L400" s="23">
        <v>12057</v>
      </c>
      <c r="M400" s="23">
        <v>499</v>
      </c>
      <c r="N400" s="22">
        <v>0</v>
      </c>
      <c r="O400" s="26">
        <f>K400/G400</f>
        <v>2.239869717212202E-2</v>
      </c>
      <c r="P400" s="27">
        <f>K400/I400</f>
        <v>0.21044466317991631</v>
      </c>
      <c r="Q400" s="22" t="b">
        <v>1</v>
      </c>
    </row>
    <row r="401" spans="1:18" x14ac:dyDescent="0.15">
      <c r="A401" s="22">
        <v>400</v>
      </c>
      <c r="B401" s="22">
        <v>3245</v>
      </c>
      <c r="C401" s="23">
        <v>12</v>
      </c>
      <c r="D401" s="24" t="s">
        <v>1481</v>
      </c>
      <c r="E401" s="24" t="s">
        <v>777</v>
      </c>
      <c r="F401" s="25">
        <v>1649</v>
      </c>
      <c r="G401" s="25">
        <f>F401*1000000</f>
        <v>1649000000</v>
      </c>
      <c r="H401" s="25">
        <v>54</v>
      </c>
      <c r="I401" s="25">
        <f>H401*1000000</f>
        <v>54000000</v>
      </c>
      <c r="J401" s="24" t="s">
        <v>778</v>
      </c>
      <c r="K401" s="25">
        <v>20819295</v>
      </c>
      <c r="L401" s="23">
        <v>9800</v>
      </c>
      <c r="M401" s="23">
        <v>150</v>
      </c>
      <c r="N401" s="22">
        <v>0</v>
      </c>
      <c r="O401" s="26">
        <f>K401/G401</f>
        <v>1.2625406306852638E-2</v>
      </c>
      <c r="P401" s="27">
        <f>K401/I401</f>
        <v>0.38554250000000001</v>
      </c>
      <c r="Q401" s="22" t="b">
        <v>1</v>
      </c>
    </row>
    <row r="402" spans="1:18" x14ac:dyDescent="0.15">
      <c r="A402" s="22">
        <v>401</v>
      </c>
      <c r="B402" s="22">
        <v>3241</v>
      </c>
      <c r="C402" s="23">
        <v>3</v>
      </c>
      <c r="D402" s="24" t="s">
        <v>1472</v>
      </c>
      <c r="E402" s="24" t="s">
        <v>779</v>
      </c>
      <c r="F402" s="25">
        <v>17190</v>
      </c>
      <c r="G402" s="25">
        <f>F402*1000000</f>
        <v>17190000000</v>
      </c>
      <c r="H402" s="25">
        <v>37</v>
      </c>
      <c r="I402" s="25">
        <f>H402*1000000</f>
        <v>37000000</v>
      </c>
      <c r="J402" s="24" t="s">
        <v>780</v>
      </c>
      <c r="K402" s="25">
        <v>288992374</v>
      </c>
      <c r="L402" s="23">
        <v>6500</v>
      </c>
      <c r="M402" s="23">
        <v>100</v>
      </c>
      <c r="N402" s="22">
        <v>0</v>
      </c>
      <c r="O402" s="26">
        <f>K402/G402</f>
        <v>1.6811656428155904E-2</v>
      </c>
      <c r="P402" s="27">
        <f>K402/I402</f>
        <v>7.8106047027027028</v>
      </c>
      <c r="Q402" s="22" t="b">
        <v>1</v>
      </c>
    </row>
    <row r="403" spans="1:18" x14ac:dyDescent="0.15">
      <c r="A403" s="22">
        <v>402</v>
      </c>
      <c r="B403" s="22">
        <v>3241</v>
      </c>
      <c r="C403" s="23">
        <v>2</v>
      </c>
      <c r="D403" s="24" t="s">
        <v>1471</v>
      </c>
      <c r="E403" s="24" t="s">
        <v>781</v>
      </c>
      <c r="F403" s="25">
        <v>1179</v>
      </c>
      <c r="G403" s="25">
        <f>F403*1000000</f>
        <v>1179000000</v>
      </c>
      <c r="H403" s="25">
        <v>94</v>
      </c>
      <c r="I403" s="25">
        <f>H403*1000000</f>
        <v>94000000</v>
      </c>
      <c r="J403" s="24" t="s">
        <v>88</v>
      </c>
      <c r="K403" s="25">
        <v>57628148</v>
      </c>
      <c r="L403" s="23">
        <v>6315</v>
      </c>
      <c r="M403" s="23">
        <v>265</v>
      </c>
      <c r="N403" s="22">
        <v>0</v>
      </c>
      <c r="O403" s="26">
        <f>K403/G403</f>
        <v>4.8878836301950807E-2</v>
      </c>
      <c r="P403" s="27">
        <f>K403/I403</f>
        <v>0.61306540425531919</v>
      </c>
      <c r="Q403" s="22" t="b">
        <v>1</v>
      </c>
    </row>
    <row r="404" spans="1:18" x14ac:dyDescent="0.15">
      <c r="A404" s="7">
        <v>403</v>
      </c>
      <c r="B404" s="7">
        <v>3235</v>
      </c>
      <c r="C404" s="8">
        <v>17</v>
      </c>
      <c r="D404" s="9" t="s">
        <v>1486</v>
      </c>
      <c r="E404" s="9" t="s">
        <v>782</v>
      </c>
      <c r="F404" s="10">
        <v>2723</v>
      </c>
      <c r="G404" s="10">
        <f>F404*1000000</f>
        <v>2723000000</v>
      </c>
      <c r="H404" s="10">
        <v>52</v>
      </c>
      <c r="I404" s="10">
        <f>H404*1000000</f>
        <v>52000000</v>
      </c>
      <c r="J404" s="9" t="s">
        <v>783</v>
      </c>
      <c r="K404" s="10">
        <v>30674323</v>
      </c>
      <c r="L404" s="8">
        <v>18100</v>
      </c>
      <c r="M404" s="8">
        <v>118</v>
      </c>
      <c r="N404" s="7">
        <v>0</v>
      </c>
      <c r="O404" s="14">
        <f>K404/G404</f>
        <v>1.1264900110172603E-2</v>
      </c>
      <c r="P404" s="15">
        <f>K404/I404</f>
        <v>0.58989082692307693</v>
      </c>
      <c r="Q404" s="7"/>
    </row>
    <row r="405" spans="1:18" x14ac:dyDescent="0.15">
      <c r="A405" s="13">
        <v>404</v>
      </c>
      <c r="B405" s="13">
        <v>3232</v>
      </c>
      <c r="C405" s="16">
        <v>10</v>
      </c>
      <c r="D405" s="17" t="s">
        <v>1479</v>
      </c>
      <c r="E405" s="17" t="s">
        <v>784</v>
      </c>
      <c r="F405" s="12">
        <v>1018</v>
      </c>
      <c r="G405" s="12">
        <f>F405*1000000</f>
        <v>1018000000</v>
      </c>
      <c r="H405" s="12">
        <v>75</v>
      </c>
      <c r="I405" s="12">
        <f>H405*1000000</f>
        <v>75000000</v>
      </c>
      <c r="J405" s="17" t="s">
        <v>785</v>
      </c>
      <c r="K405" s="12">
        <v>135000000</v>
      </c>
      <c r="L405" s="4">
        <v>8450</v>
      </c>
      <c r="M405" s="4">
        <v>135</v>
      </c>
      <c r="N405" s="13">
        <v>1</v>
      </c>
      <c r="O405" s="18">
        <f>K405/G405</f>
        <v>0.13261296660117877</v>
      </c>
      <c r="P405" s="19">
        <f>K405/I405</f>
        <v>1.8</v>
      </c>
      <c r="Q405" s="13"/>
      <c r="R405" s="13"/>
    </row>
    <row r="406" spans="1:18" x14ac:dyDescent="0.15">
      <c r="A406" s="13">
        <v>405</v>
      </c>
      <c r="B406" s="13">
        <v>3228</v>
      </c>
      <c r="C406" s="16">
        <v>5</v>
      </c>
      <c r="D406" s="17" t="s">
        <v>1474</v>
      </c>
      <c r="E406" s="17" t="s">
        <v>786</v>
      </c>
      <c r="F406" s="12">
        <v>4267</v>
      </c>
      <c r="G406" s="12">
        <f>F406*1000000</f>
        <v>4267000000</v>
      </c>
      <c r="H406" s="12">
        <v>265</v>
      </c>
      <c r="I406" s="12">
        <f>H406*1000000</f>
        <v>265000000</v>
      </c>
      <c r="J406" s="17" t="s">
        <v>787</v>
      </c>
      <c r="K406" s="12">
        <v>79000000</v>
      </c>
      <c r="L406" s="4">
        <v>29800</v>
      </c>
      <c r="M406" s="4">
        <v>639</v>
      </c>
      <c r="N406" s="13">
        <v>1</v>
      </c>
      <c r="O406" s="18">
        <f>K406/G406</f>
        <v>1.8514178579798455E-2</v>
      </c>
      <c r="P406" s="19">
        <f>K406/I406</f>
        <v>0.2981132075471698</v>
      </c>
      <c r="Q406" s="13"/>
    </row>
    <row r="407" spans="1:18" x14ac:dyDescent="0.15">
      <c r="A407" s="13">
        <v>406</v>
      </c>
      <c r="B407" s="13">
        <v>3222</v>
      </c>
      <c r="C407" s="16">
        <v>12</v>
      </c>
      <c r="D407" s="17" t="s">
        <v>1481</v>
      </c>
      <c r="E407" s="17" t="s">
        <v>788</v>
      </c>
      <c r="F407" s="12">
        <v>737</v>
      </c>
      <c r="G407" s="12">
        <f>F407*1000000</f>
        <v>737000000</v>
      </c>
      <c r="H407" s="12">
        <v>18</v>
      </c>
      <c r="I407" s="12">
        <f>H407*1000000</f>
        <v>18000000</v>
      </c>
      <c r="J407" s="17" t="s">
        <v>88</v>
      </c>
      <c r="K407" s="12">
        <v>9300000</v>
      </c>
      <c r="L407" s="4">
        <v>5640</v>
      </c>
      <c r="M407" s="4">
        <v>63</v>
      </c>
      <c r="N407" s="13">
        <v>1</v>
      </c>
      <c r="O407" s="18">
        <f>K407/G407</f>
        <v>1.2618724559023067E-2</v>
      </c>
      <c r="P407" s="19">
        <f>K407/I407</f>
        <v>0.51666666666666672</v>
      </c>
      <c r="Q407" s="20" t="s">
        <v>1496</v>
      </c>
    </row>
    <row r="408" spans="1:18" x14ac:dyDescent="0.15">
      <c r="A408" s="13">
        <v>407</v>
      </c>
      <c r="B408" s="13">
        <v>3221</v>
      </c>
      <c r="C408" s="16">
        <v>9</v>
      </c>
      <c r="D408" s="17" t="s">
        <v>1478</v>
      </c>
      <c r="E408" s="17" t="s">
        <v>789</v>
      </c>
      <c r="F408" s="12">
        <v>2659</v>
      </c>
      <c r="G408" s="12">
        <f>F408*1000000</f>
        <v>2659000000</v>
      </c>
      <c r="H408" s="12">
        <v>106</v>
      </c>
      <c r="I408" s="12">
        <f>H408*1000000</f>
        <v>106000000</v>
      </c>
      <c r="J408" s="17" t="s">
        <v>790</v>
      </c>
      <c r="K408" s="12">
        <v>105000</v>
      </c>
      <c r="L408" s="4">
        <v>4800</v>
      </c>
      <c r="M408" s="4">
        <v>55</v>
      </c>
      <c r="N408" s="13">
        <v>1</v>
      </c>
      <c r="O408" s="18">
        <f>K408/G408</f>
        <v>3.9488529522376832E-5</v>
      </c>
      <c r="P408" s="19">
        <f>K408/I408</f>
        <v>9.9056603773584897E-4</v>
      </c>
      <c r="Q408" s="13"/>
    </row>
    <row r="409" spans="1:18" x14ac:dyDescent="0.15">
      <c r="A409" s="13">
        <v>408</v>
      </c>
      <c r="B409" s="13">
        <v>3212</v>
      </c>
      <c r="C409" s="16">
        <v>1</v>
      </c>
      <c r="D409" s="17" t="s">
        <v>1470</v>
      </c>
      <c r="E409" s="17" t="s">
        <v>791</v>
      </c>
      <c r="F409" s="12">
        <v>808</v>
      </c>
      <c r="G409" s="12">
        <f>F409*1000000</f>
        <v>808000000</v>
      </c>
      <c r="H409" s="12">
        <v>39</v>
      </c>
      <c r="I409" s="12">
        <f>H409*1000000</f>
        <v>39000000</v>
      </c>
      <c r="J409" s="17" t="s">
        <v>792</v>
      </c>
      <c r="K409" s="12">
        <v>10000000</v>
      </c>
      <c r="L409" s="4">
        <v>6000</v>
      </c>
      <c r="M409" s="4">
        <v>100</v>
      </c>
      <c r="N409" s="13">
        <v>1</v>
      </c>
      <c r="O409" s="18">
        <f>K409/G409</f>
        <v>1.2376237623762377E-2</v>
      </c>
      <c r="P409" s="19">
        <f>K409/I409</f>
        <v>0.25641025641025639</v>
      </c>
      <c r="Q409" s="13"/>
    </row>
    <row r="410" spans="1:18" x14ac:dyDescent="0.15">
      <c r="A410" s="13">
        <v>409</v>
      </c>
      <c r="B410" s="13">
        <v>3208</v>
      </c>
      <c r="C410" s="16">
        <v>11</v>
      </c>
      <c r="D410" s="17" t="s">
        <v>1480</v>
      </c>
      <c r="E410" s="17" t="s">
        <v>793</v>
      </c>
      <c r="F410" s="12">
        <v>18465</v>
      </c>
      <c r="G410" s="12">
        <f>F410*1000000</f>
        <v>18465000000</v>
      </c>
      <c r="H410" s="12">
        <v>1326</v>
      </c>
      <c r="I410" s="12">
        <f>H410*1000000</f>
        <v>1326000000</v>
      </c>
      <c r="J410" s="17" t="s">
        <v>794</v>
      </c>
      <c r="K410" s="12">
        <v>280000000</v>
      </c>
      <c r="L410" s="4">
        <v>65000</v>
      </c>
      <c r="M410" s="4">
        <v>1640</v>
      </c>
      <c r="N410" s="13">
        <v>1</v>
      </c>
      <c r="O410" s="18">
        <f>K410/G410</f>
        <v>1.5163823449769834E-2</v>
      </c>
      <c r="P410" s="19">
        <f>K410/I410</f>
        <v>0.21116138763197587</v>
      </c>
      <c r="Q410" s="13"/>
      <c r="R410" s="13"/>
    </row>
    <row r="411" spans="1:18" x14ac:dyDescent="0.15">
      <c r="A411" s="22">
        <v>410</v>
      </c>
      <c r="B411" s="22">
        <v>3200</v>
      </c>
      <c r="C411" s="23">
        <v>20</v>
      </c>
      <c r="D411" s="24" t="s">
        <v>1489</v>
      </c>
      <c r="E411" s="24" t="s">
        <v>795</v>
      </c>
      <c r="F411" s="25">
        <v>2452</v>
      </c>
      <c r="G411" s="25">
        <f>F411*1000000</f>
        <v>2452000000</v>
      </c>
      <c r="H411" s="25">
        <v>220</v>
      </c>
      <c r="I411" s="25">
        <f>H411*1000000</f>
        <v>220000000</v>
      </c>
      <c r="J411" s="24" t="s">
        <v>796</v>
      </c>
      <c r="K411" s="25">
        <v>54921606</v>
      </c>
      <c r="L411" s="23">
        <v>5157</v>
      </c>
      <c r="M411" s="23">
        <v>272</v>
      </c>
      <c r="N411" s="22">
        <v>0</v>
      </c>
      <c r="O411" s="26">
        <f>K411/G411</f>
        <v>2.2398697389885806E-2</v>
      </c>
      <c r="P411" s="27">
        <f>K411/I411</f>
        <v>0.24964366363636364</v>
      </c>
      <c r="Q411" s="22" t="b">
        <v>1</v>
      </c>
    </row>
    <row r="412" spans="1:18" x14ac:dyDescent="0.15">
      <c r="A412" s="22">
        <v>411</v>
      </c>
      <c r="B412" s="22">
        <v>3196</v>
      </c>
      <c r="C412" s="23">
        <v>13</v>
      </c>
      <c r="D412" s="24" t="s">
        <v>1482</v>
      </c>
      <c r="E412" s="24" t="s">
        <v>797</v>
      </c>
      <c r="F412" s="25">
        <v>965</v>
      </c>
      <c r="G412" s="25">
        <f>F412*1000000</f>
        <v>965000000</v>
      </c>
      <c r="H412" s="22" t="s">
        <v>63</v>
      </c>
      <c r="I412" s="25" t="e">
        <f>H412*1000000</f>
        <v>#VALUE!</v>
      </c>
      <c r="J412" s="24" t="s">
        <v>88</v>
      </c>
      <c r="K412" s="25">
        <v>13291034</v>
      </c>
      <c r="L412" s="23">
        <v>4500</v>
      </c>
      <c r="M412" s="23">
        <v>75</v>
      </c>
      <c r="N412" s="22">
        <v>0</v>
      </c>
      <c r="O412" s="26">
        <f>K412/G412</f>
        <v>1.3773092227979275E-2</v>
      </c>
      <c r="P412" s="27" t="e">
        <f>K412/I412</f>
        <v>#VALUE!</v>
      </c>
      <c r="Q412" s="22" t="b">
        <v>1</v>
      </c>
    </row>
    <row r="413" spans="1:18" x14ac:dyDescent="0.15">
      <c r="A413" s="13">
        <v>412</v>
      </c>
      <c r="B413" s="13">
        <v>3179</v>
      </c>
      <c r="C413" s="16">
        <v>15</v>
      </c>
      <c r="D413" s="17" t="s">
        <v>1484</v>
      </c>
      <c r="E413" s="17" t="s">
        <v>798</v>
      </c>
      <c r="F413" s="12">
        <v>6417</v>
      </c>
      <c r="G413" s="12">
        <f>F413*1000000</f>
        <v>6417000000</v>
      </c>
      <c r="H413" s="12">
        <v>694</v>
      </c>
      <c r="I413" s="12">
        <f>H413*1000000</f>
        <v>694000000</v>
      </c>
      <c r="J413" s="17" t="s">
        <v>799</v>
      </c>
      <c r="K413" s="12">
        <v>130000000</v>
      </c>
      <c r="L413" s="4">
        <v>35000</v>
      </c>
      <c r="M413" s="4">
        <v>817</v>
      </c>
      <c r="N413" s="13">
        <v>1</v>
      </c>
      <c r="O413" s="18">
        <f>K413/G413</f>
        <v>2.025868786037089E-2</v>
      </c>
      <c r="P413" s="19">
        <f>K413/I413</f>
        <v>0.18731988472622479</v>
      </c>
      <c r="Q413" s="13"/>
      <c r="R413" s="13"/>
    </row>
    <row r="414" spans="1:18" x14ac:dyDescent="0.15">
      <c r="A414" s="13">
        <v>413</v>
      </c>
      <c r="B414" s="13">
        <v>3177</v>
      </c>
      <c r="C414" s="16">
        <v>12</v>
      </c>
      <c r="D414" s="17" t="s">
        <v>1481</v>
      </c>
      <c r="E414" s="17" t="s">
        <v>800</v>
      </c>
      <c r="F414" s="12">
        <v>1155</v>
      </c>
      <c r="G414" s="12">
        <f>F414*1000000</f>
        <v>1155000000</v>
      </c>
      <c r="H414" s="12">
        <v>92</v>
      </c>
      <c r="I414" s="12">
        <f>H414*1000000</f>
        <v>92000000</v>
      </c>
      <c r="J414" s="17" t="s">
        <v>801</v>
      </c>
      <c r="K414" s="12">
        <v>6200000</v>
      </c>
      <c r="L414" s="4">
        <v>5800</v>
      </c>
      <c r="M414" s="4">
        <v>110</v>
      </c>
      <c r="N414" s="13">
        <v>1</v>
      </c>
      <c r="O414" s="18">
        <f>K414/G414</f>
        <v>5.367965367965368E-3</v>
      </c>
      <c r="P414" s="19">
        <f>K414/I414</f>
        <v>6.7391304347826086E-2</v>
      </c>
      <c r="Q414" s="13"/>
    </row>
    <row r="415" spans="1:18" x14ac:dyDescent="0.15">
      <c r="A415" s="22">
        <v>414</v>
      </c>
      <c r="B415" s="22">
        <v>3167</v>
      </c>
      <c r="C415" s="23">
        <v>12</v>
      </c>
      <c r="D415" s="24" t="s">
        <v>1481</v>
      </c>
      <c r="E415" s="24" t="s">
        <v>802</v>
      </c>
      <c r="F415" s="25">
        <v>757</v>
      </c>
      <c r="G415" s="25">
        <f>F415*1000000</f>
        <v>757000000</v>
      </c>
      <c r="H415" s="22" t="s">
        <v>63</v>
      </c>
      <c r="I415" s="25" t="e">
        <f>H415*1000000</f>
        <v>#VALUE!</v>
      </c>
      <c r="J415" s="24" t="s">
        <v>88</v>
      </c>
      <c r="K415" s="25">
        <v>9557432</v>
      </c>
      <c r="L415" s="23" t="s">
        <v>63</v>
      </c>
      <c r="M415" s="23">
        <v>65</v>
      </c>
      <c r="N415" s="22">
        <v>0</v>
      </c>
      <c r="O415" s="26">
        <f>K415/G415</f>
        <v>1.2625405548216645E-2</v>
      </c>
      <c r="P415" s="27" t="e">
        <f>K415/I415</f>
        <v>#VALUE!</v>
      </c>
      <c r="Q415" s="22" t="b">
        <v>1</v>
      </c>
    </row>
    <row r="416" spans="1:18" x14ac:dyDescent="0.15">
      <c r="A416" s="7">
        <v>415</v>
      </c>
      <c r="B416" s="7">
        <v>3163</v>
      </c>
      <c r="C416" s="8">
        <v>12</v>
      </c>
      <c r="D416" s="9" t="s">
        <v>1481</v>
      </c>
      <c r="E416" s="9" t="s">
        <v>803</v>
      </c>
      <c r="F416" s="10">
        <v>2504</v>
      </c>
      <c r="G416" s="10">
        <f>F416*1000000</f>
        <v>2504000000</v>
      </c>
      <c r="H416" s="10">
        <v>-321</v>
      </c>
      <c r="I416" s="10">
        <f>H416*1000000</f>
        <v>-321000000</v>
      </c>
      <c r="J416" s="9" t="s">
        <v>804</v>
      </c>
      <c r="K416" s="10">
        <v>10194034</v>
      </c>
      <c r="L416" s="8">
        <v>11910</v>
      </c>
      <c r="M416" s="8">
        <v>128</v>
      </c>
      <c r="N416" s="7">
        <v>0</v>
      </c>
      <c r="O416" s="14">
        <f>K416/G416</f>
        <v>4.0710998402555907E-3</v>
      </c>
      <c r="P416" s="15">
        <f>K416/I416</f>
        <v>-3.1757115264797506E-2</v>
      </c>
      <c r="Q416" s="7"/>
    </row>
    <row r="417" spans="1:18" x14ac:dyDescent="0.15">
      <c r="A417" s="13">
        <v>416</v>
      </c>
      <c r="B417" s="13">
        <v>3159</v>
      </c>
      <c r="C417" s="16">
        <v>9</v>
      </c>
      <c r="D417" s="17" t="s">
        <v>1478</v>
      </c>
      <c r="E417" s="17" t="s">
        <v>805</v>
      </c>
      <c r="F417" s="12">
        <v>2100</v>
      </c>
      <c r="G417" s="12">
        <f>F417*1000000</f>
        <v>2100000000</v>
      </c>
      <c r="H417" s="13" t="s">
        <v>63</v>
      </c>
      <c r="I417" s="12" t="e">
        <f>H417*1000000</f>
        <v>#VALUE!</v>
      </c>
      <c r="J417" s="17" t="s">
        <v>806</v>
      </c>
      <c r="K417" s="12">
        <v>15000000</v>
      </c>
      <c r="L417" s="4">
        <v>12000</v>
      </c>
      <c r="M417" s="4">
        <v>120</v>
      </c>
      <c r="N417" s="13">
        <v>1</v>
      </c>
      <c r="O417" s="18">
        <f>K417/G417</f>
        <v>7.1428571428571426E-3</v>
      </c>
      <c r="P417" s="19" t="e">
        <f>K417/I417</f>
        <v>#VALUE!</v>
      </c>
      <c r="Q417" s="13"/>
    </row>
    <row r="418" spans="1:18" x14ac:dyDescent="0.15">
      <c r="A418" s="22">
        <v>417</v>
      </c>
      <c r="B418" s="22">
        <v>3144</v>
      </c>
      <c r="C418" s="23">
        <v>12</v>
      </c>
      <c r="D418" s="24" t="s">
        <v>1481</v>
      </c>
      <c r="E418" s="24" t="s">
        <v>807</v>
      </c>
      <c r="F418" s="25">
        <v>2500</v>
      </c>
      <c r="G418" s="25">
        <f>F418*1000000</f>
        <v>2500000000</v>
      </c>
      <c r="H418" s="22" t="s">
        <v>63</v>
      </c>
      <c r="I418" s="25" t="e">
        <f>H418*1000000</f>
        <v>#VALUE!</v>
      </c>
      <c r="J418" s="24" t="s">
        <v>808</v>
      </c>
      <c r="K418" s="25">
        <v>31563516</v>
      </c>
      <c r="L418" s="23">
        <v>17800</v>
      </c>
      <c r="M418" s="23">
        <v>215</v>
      </c>
      <c r="N418" s="22">
        <v>0</v>
      </c>
      <c r="O418" s="26">
        <f>K418/G418</f>
        <v>1.2625406400000001E-2</v>
      </c>
      <c r="P418" s="27" t="e">
        <f>K418/I418</f>
        <v>#VALUE!</v>
      </c>
      <c r="Q418" s="22" t="b">
        <v>1</v>
      </c>
    </row>
    <row r="419" spans="1:18" x14ac:dyDescent="0.15">
      <c r="A419" s="7">
        <v>418</v>
      </c>
      <c r="B419" s="7">
        <v>3143</v>
      </c>
      <c r="C419" s="8">
        <v>14</v>
      </c>
      <c r="D419" s="9" t="s">
        <v>1483</v>
      </c>
      <c r="E419" s="9" t="s">
        <v>809</v>
      </c>
      <c r="F419" s="10">
        <v>2116</v>
      </c>
      <c r="G419" s="10">
        <f>F419*1000000</f>
        <v>2116000000</v>
      </c>
      <c r="H419" s="10">
        <v>-117</v>
      </c>
      <c r="I419" s="10">
        <f>H419*1000000</f>
        <v>-117000000</v>
      </c>
      <c r="J419" s="9" t="s">
        <v>810</v>
      </c>
      <c r="K419" s="10">
        <v>26046267</v>
      </c>
      <c r="L419" s="8">
        <v>13795</v>
      </c>
      <c r="M419" s="8">
        <v>188</v>
      </c>
      <c r="N419" s="7">
        <v>0</v>
      </c>
      <c r="O419" s="14">
        <f>K419/G419</f>
        <v>1.2309199905482042E-2</v>
      </c>
      <c r="P419" s="15">
        <f>K419/I419</f>
        <v>-0.22261766666666666</v>
      </c>
      <c r="Q419" s="7"/>
    </row>
    <row r="420" spans="1:18" x14ac:dyDescent="0.15">
      <c r="A420" s="22">
        <v>419</v>
      </c>
      <c r="B420" s="22">
        <v>3138</v>
      </c>
      <c r="C420" s="23">
        <v>16</v>
      </c>
      <c r="D420" s="24" t="s">
        <v>1485</v>
      </c>
      <c r="E420" s="24" t="s">
        <v>811</v>
      </c>
      <c r="F420" s="25">
        <v>869</v>
      </c>
      <c r="G420" s="25">
        <f>F420*1000000</f>
        <v>869000000</v>
      </c>
      <c r="H420" s="22" t="s">
        <v>63</v>
      </c>
      <c r="I420" s="25" t="e">
        <f>H420*1000000</f>
        <v>#VALUE!</v>
      </c>
      <c r="J420" s="24" t="s">
        <v>812</v>
      </c>
      <c r="K420" s="25">
        <v>20054059</v>
      </c>
      <c r="L420" s="23">
        <v>8400</v>
      </c>
      <c r="M420" s="23">
        <v>82</v>
      </c>
      <c r="N420" s="22">
        <v>0</v>
      </c>
      <c r="O420" s="26">
        <f>K420/G420</f>
        <v>2.3077168009205985E-2</v>
      </c>
      <c r="P420" s="27" t="e">
        <f>K420/I420</f>
        <v>#VALUE!</v>
      </c>
      <c r="Q420" s="22" t="b">
        <v>1</v>
      </c>
    </row>
    <row r="421" spans="1:18" x14ac:dyDescent="0.15">
      <c r="A421" s="22">
        <v>420</v>
      </c>
      <c r="B421" s="22">
        <v>3133</v>
      </c>
      <c r="C421" s="23">
        <v>5</v>
      </c>
      <c r="D421" s="24" t="s">
        <v>1474</v>
      </c>
      <c r="E421" s="24" t="s">
        <v>813</v>
      </c>
      <c r="F421" s="25">
        <v>1604</v>
      </c>
      <c r="G421" s="25">
        <f>F421*1000000</f>
        <v>1604000000</v>
      </c>
      <c r="H421" s="22" t="s">
        <v>63</v>
      </c>
      <c r="I421" s="25" t="e">
        <f>H421*1000000</f>
        <v>#VALUE!</v>
      </c>
      <c r="J421" s="24" t="s">
        <v>814</v>
      </c>
      <c r="K421" s="25">
        <v>30098254</v>
      </c>
      <c r="L421" s="23">
        <v>14000</v>
      </c>
      <c r="M421" s="23">
        <v>150</v>
      </c>
      <c r="N421" s="22">
        <v>0</v>
      </c>
      <c r="O421" s="26">
        <f>K421/G421</f>
        <v>1.8764497506234414E-2</v>
      </c>
      <c r="P421" s="27" t="e">
        <f>K421/I421</f>
        <v>#VALUE!</v>
      </c>
      <c r="Q421" s="22" t="b">
        <v>1</v>
      </c>
    </row>
    <row r="422" spans="1:18" x14ac:dyDescent="0.15">
      <c r="A422" s="22">
        <v>421</v>
      </c>
      <c r="B422" s="22">
        <v>3132</v>
      </c>
      <c r="C422" s="23">
        <v>4</v>
      </c>
      <c r="D422" s="24" t="s">
        <v>1473</v>
      </c>
      <c r="E422" s="24" t="s">
        <v>815</v>
      </c>
      <c r="F422" s="25">
        <v>1625</v>
      </c>
      <c r="G422" s="25">
        <f>F422*1000000</f>
        <v>1625000000</v>
      </c>
      <c r="H422" s="25">
        <v>41</v>
      </c>
      <c r="I422" s="25">
        <f>H422*1000000</f>
        <v>41000000</v>
      </c>
      <c r="J422" s="24" t="s">
        <v>88</v>
      </c>
      <c r="K422" s="25">
        <v>39475323</v>
      </c>
      <c r="L422" s="23">
        <v>10300</v>
      </c>
      <c r="M422" s="23">
        <v>190</v>
      </c>
      <c r="N422" s="22">
        <v>0</v>
      </c>
      <c r="O422" s="26">
        <f>K422/G422</f>
        <v>2.4292506461538462E-2</v>
      </c>
      <c r="P422" s="27">
        <f>K422/I422</f>
        <v>0.96281275609756101</v>
      </c>
      <c r="Q422" s="22" t="b">
        <v>1</v>
      </c>
    </row>
    <row r="423" spans="1:18" x14ac:dyDescent="0.15">
      <c r="A423" s="13">
        <v>422</v>
      </c>
      <c r="B423" s="13">
        <v>3112</v>
      </c>
      <c r="C423" s="16">
        <v>19</v>
      </c>
      <c r="D423" s="17" t="s">
        <v>1488</v>
      </c>
      <c r="E423" s="17" t="s">
        <v>816</v>
      </c>
      <c r="F423" s="12">
        <v>6997</v>
      </c>
      <c r="G423" s="12">
        <f>F423*1000000</f>
        <v>6997000000</v>
      </c>
      <c r="H423" s="12">
        <v>-685</v>
      </c>
      <c r="I423" s="12">
        <f>H423*1000000</f>
        <v>-685000000</v>
      </c>
      <c r="J423" s="17" t="s">
        <v>817</v>
      </c>
      <c r="K423" s="12">
        <v>160000000</v>
      </c>
      <c r="L423" s="4">
        <v>45000</v>
      </c>
      <c r="M423" s="4">
        <v>750</v>
      </c>
      <c r="N423" s="13">
        <v>1</v>
      </c>
      <c r="O423" s="18">
        <f>K423/G423</f>
        <v>2.2866942975560956E-2</v>
      </c>
      <c r="P423" s="19">
        <f>K423/I423</f>
        <v>-0.23357664233576642</v>
      </c>
      <c r="Q423" s="13"/>
    </row>
    <row r="424" spans="1:18" x14ac:dyDescent="0.15">
      <c r="A424" s="28">
        <v>423</v>
      </c>
      <c r="B424" s="28">
        <v>3106</v>
      </c>
      <c r="C424" s="29">
        <v>9</v>
      </c>
      <c r="D424" s="30" t="s">
        <v>1478</v>
      </c>
      <c r="E424" s="30" t="s">
        <v>818</v>
      </c>
      <c r="F424" s="28" t="s">
        <v>248</v>
      </c>
      <c r="G424" s="31" t="e">
        <f>F424*1000000</f>
        <v>#VALUE!</v>
      </c>
      <c r="H424" s="28" t="s">
        <v>63</v>
      </c>
      <c r="I424" s="31" t="e">
        <f>H424*1000000</f>
        <v>#VALUE!</v>
      </c>
      <c r="J424" s="30" t="s">
        <v>819</v>
      </c>
      <c r="K424" s="28" t="e">
        <v>#N/A</v>
      </c>
      <c r="L424" s="29">
        <v>1200</v>
      </c>
      <c r="M424" s="29" t="s">
        <v>63</v>
      </c>
      <c r="N424" s="28">
        <v>1</v>
      </c>
      <c r="O424" s="32" t="e">
        <f>K424/G424</f>
        <v>#N/A</v>
      </c>
      <c r="P424" s="33" t="e">
        <f>K424/I424</f>
        <v>#N/A</v>
      </c>
      <c r="Q424" s="28"/>
      <c r="R424" s="28" t="b">
        <v>1</v>
      </c>
    </row>
    <row r="425" spans="1:18" x14ac:dyDescent="0.15">
      <c r="A425" s="22">
        <v>424</v>
      </c>
      <c r="B425" s="22">
        <v>3105</v>
      </c>
      <c r="C425" s="23">
        <v>2</v>
      </c>
      <c r="D425" s="24" t="s">
        <v>1471</v>
      </c>
      <c r="E425" s="24" t="s">
        <v>820</v>
      </c>
      <c r="F425" s="25">
        <v>9108</v>
      </c>
      <c r="G425" s="25">
        <f>F425*1000000</f>
        <v>9108000000</v>
      </c>
      <c r="H425" s="22" t="s">
        <v>63</v>
      </c>
      <c r="I425" s="25" t="e">
        <f>H425*1000000</f>
        <v>#VALUE!</v>
      </c>
      <c r="J425" s="24" t="s">
        <v>88</v>
      </c>
      <c r="K425" s="25">
        <v>445188437</v>
      </c>
      <c r="L425" s="23">
        <v>34769</v>
      </c>
      <c r="M425" s="23">
        <v>2049</v>
      </c>
      <c r="N425" s="22">
        <v>0</v>
      </c>
      <c r="O425" s="26">
        <f>K425/G425</f>
        <v>4.8878835858585858E-2</v>
      </c>
      <c r="P425" s="27" t="e">
        <f>K425/I425</f>
        <v>#VALUE!</v>
      </c>
      <c r="Q425" s="22" t="b">
        <v>1</v>
      </c>
    </row>
    <row r="426" spans="1:18" x14ac:dyDescent="0.15">
      <c r="A426" s="22">
        <v>425</v>
      </c>
      <c r="B426" s="22">
        <v>3100</v>
      </c>
      <c r="C426" s="23">
        <v>6</v>
      </c>
      <c r="D426" s="24" t="s">
        <v>1475</v>
      </c>
      <c r="E426" s="24" t="s">
        <v>821</v>
      </c>
      <c r="F426" s="25">
        <v>902</v>
      </c>
      <c r="G426" s="25">
        <f>F426*1000000</f>
        <v>902000000</v>
      </c>
      <c r="H426" s="25">
        <v>109</v>
      </c>
      <c r="I426" s="25">
        <f>H426*1000000</f>
        <v>109000000</v>
      </c>
      <c r="J426" s="24" t="s">
        <v>822</v>
      </c>
      <c r="K426" s="25">
        <v>24087290</v>
      </c>
      <c r="L426" s="23" t="s">
        <v>63</v>
      </c>
      <c r="M426" s="23">
        <v>114</v>
      </c>
      <c r="N426" s="22">
        <v>0</v>
      </c>
      <c r="O426" s="26">
        <f>K426/G426</f>
        <v>2.6704312638580932E-2</v>
      </c>
      <c r="P426" s="27">
        <f>K426/I426</f>
        <v>0.2209843119266055</v>
      </c>
      <c r="Q426" s="22" t="b">
        <v>1</v>
      </c>
    </row>
    <row r="427" spans="1:18" x14ac:dyDescent="0.15">
      <c r="A427" s="22">
        <v>426</v>
      </c>
      <c r="B427" s="22">
        <v>3098</v>
      </c>
      <c r="C427" s="23">
        <v>11</v>
      </c>
      <c r="D427" s="24" t="s">
        <v>1480</v>
      </c>
      <c r="E427" s="24" t="s">
        <v>823</v>
      </c>
      <c r="F427" s="25">
        <v>12732</v>
      </c>
      <c r="G427" s="25">
        <f>F427*1000000</f>
        <v>12732000000</v>
      </c>
      <c r="H427" s="25">
        <v>199</v>
      </c>
      <c r="I427" s="25">
        <f>H427*1000000</f>
        <v>199000000</v>
      </c>
      <c r="J427" s="24" t="s">
        <v>824</v>
      </c>
      <c r="K427" s="25">
        <v>237911824</v>
      </c>
      <c r="L427" s="23">
        <v>16500</v>
      </c>
      <c r="M427" s="23">
        <v>1984</v>
      </c>
      <c r="N427" s="22">
        <v>0</v>
      </c>
      <c r="O427" s="26">
        <f>K427/G427</f>
        <v>1.8686131322651588E-2</v>
      </c>
      <c r="P427" s="27">
        <f>K427/I427</f>
        <v>1.1955368040201004</v>
      </c>
      <c r="Q427" s="22" t="b">
        <v>1</v>
      </c>
    </row>
    <row r="428" spans="1:18" x14ac:dyDescent="0.15">
      <c r="A428" s="22">
        <v>427</v>
      </c>
      <c r="B428" s="22">
        <v>3096</v>
      </c>
      <c r="C428" s="23">
        <v>17</v>
      </c>
      <c r="D428" s="24" t="s">
        <v>1486</v>
      </c>
      <c r="E428" s="24" t="s">
        <v>825</v>
      </c>
      <c r="F428" s="25">
        <v>7321</v>
      </c>
      <c r="G428" s="25">
        <f>F428*1000000</f>
        <v>7321000000</v>
      </c>
      <c r="H428" s="25">
        <v>448</v>
      </c>
      <c r="I428" s="25">
        <f>H428*1000000</f>
        <v>448000000</v>
      </c>
      <c r="J428" s="24" t="s">
        <v>826</v>
      </c>
      <c r="K428" s="25">
        <v>39738575</v>
      </c>
      <c r="L428" s="23">
        <v>105600</v>
      </c>
      <c r="M428" s="23">
        <v>241</v>
      </c>
      <c r="N428" s="22">
        <v>0</v>
      </c>
      <c r="O428" s="26">
        <f>K428/G428</f>
        <v>5.4280255429586125E-3</v>
      </c>
      <c r="P428" s="27">
        <f>K428/I428</f>
        <v>8.8702176339285718E-2</v>
      </c>
      <c r="Q428" s="22" t="b">
        <v>1</v>
      </c>
    </row>
    <row r="429" spans="1:18" x14ac:dyDescent="0.15">
      <c r="A429" s="13">
        <v>428</v>
      </c>
      <c r="B429" s="13">
        <v>3073</v>
      </c>
      <c r="C429" s="16">
        <v>14</v>
      </c>
      <c r="D429" s="17" t="s">
        <v>1483</v>
      </c>
      <c r="E429" s="17" t="s">
        <v>827</v>
      </c>
      <c r="F429" s="12">
        <v>4529</v>
      </c>
      <c r="G429" s="12">
        <f>F429*1000000</f>
        <v>4529000000</v>
      </c>
      <c r="H429" s="12">
        <v>127</v>
      </c>
      <c r="I429" s="12">
        <f>H429*1000000</f>
        <v>127000000</v>
      </c>
      <c r="J429" s="17" t="s">
        <v>828</v>
      </c>
      <c r="K429" s="12">
        <v>44100000</v>
      </c>
      <c r="L429" s="4">
        <v>15000</v>
      </c>
      <c r="M429" s="4">
        <v>300</v>
      </c>
      <c r="N429" s="13">
        <v>1</v>
      </c>
      <c r="O429" s="18">
        <f>K429/G429</f>
        <v>9.7372488408037101E-3</v>
      </c>
      <c r="P429" s="19">
        <f>K429/I429</f>
        <v>0.34724409448818899</v>
      </c>
      <c r="Q429" s="13"/>
    </row>
    <row r="430" spans="1:18" x14ac:dyDescent="0.15">
      <c r="A430" s="13">
        <v>429</v>
      </c>
      <c r="B430" s="13">
        <v>3068</v>
      </c>
      <c r="C430" s="16">
        <v>12</v>
      </c>
      <c r="D430" s="17" t="s">
        <v>1481</v>
      </c>
      <c r="E430" s="17" t="s">
        <v>829</v>
      </c>
      <c r="F430" s="12">
        <v>1197</v>
      </c>
      <c r="G430" s="12">
        <f>F430*1000000</f>
        <v>1197000000</v>
      </c>
      <c r="H430" s="12">
        <v>38</v>
      </c>
      <c r="I430" s="12">
        <f>H430*1000000</f>
        <v>38000000</v>
      </c>
      <c r="J430" s="17" t="s">
        <v>830</v>
      </c>
      <c r="K430" s="12">
        <v>17000000</v>
      </c>
      <c r="L430" s="4">
        <v>6500</v>
      </c>
      <c r="M430" s="4">
        <v>105</v>
      </c>
      <c r="N430" s="13">
        <v>1</v>
      </c>
      <c r="O430" s="18">
        <f>K430/G430</f>
        <v>1.4202172096908938E-2</v>
      </c>
      <c r="P430" s="19">
        <f>K430/I430</f>
        <v>0.44736842105263158</v>
      </c>
      <c r="Q430" s="13"/>
    </row>
    <row r="431" spans="1:18" x14ac:dyDescent="0.15">
      <c r="A431" s="22">
        <v>430</v>
      </c>
      <c r="B431" s="22">
        <v>3059</v>
      </c>
      <c r="C431" s="23">
        <v>5</v>
      </c>
      <c r="D431" s="24" t="s">
        <v>1474</v>
      </c>
      <c r="E431" s="24" t="s">
        <v>831</v>
      </c>
      <c r="F431" s="25">
        <v>1063</v>
      </c>
      <c r="G431" s="25">
        <f>F431*1000000</f>
        <v>1063000000</v>
      </c>
      <c r="H431" s="25">
        <v>-8</v>
      </c>
      <c r="I431" s="25">
        <f>H431*1000000</f>
        <v>-8000000</v>
      </c>
      <c r="J431" s="24" t="s">
        <v>832</v>
      </c>
      <c r="K431" s="25">
        <v>19946661</v>
      </c>
      <c r="L431" s="23">
        <v>14100</v>
      </c>
      <c r="M431" s="23">
        <v>90</v>
      </c>
      <c r="N431" s="22">
        <v>0</v>
      </c>
      <c r="O431" s="26">
        <f>K431/G431</f>
        <v>1.8764497648165568E-2</v>
      </c>
      <c r="P431" s="27">
        <f>K431/I431</f>
        <v>-2.4933326249999999</v>
      </c>
      <c r="Q431" s="22" t="b">
        <v>1</v>
      </c>
      <c r="R431" s="13"/>
    </row>
    <row r="432" spans="1:18" x14ac:dyDescent="0.15">
      <c r="A432" s="22">
        <v>431</v>
      </c>
      <c r="B432" s="22">
        <v>3054</v>
      </c>
      <c r="C432" s="23">
        <v>13</v>
      </c>
      <c r="D432" s="24" t="s">
        <v>1482</v>
      </c>
      <c r="E432" s="24" t="s">
        <v>833</v>
      </c>
      <c r="F432" s="25">
        <v>10055</v>
      </c>
      <c r="G432" s="25">
        <f>F432*1000000</f>
        <v>10055000000</v>
      </c>
      <c r="H432" s="25">
        <v>1110</v>
      </c>
      <c r="I432" s="25">
        <f>H432*1000000</f>
        <v>1110000000</v>
      </c>
      <c r="J432" s="24" t="s">
        <v>834</v>
      </c>
      <c r="K432" s="25">
        <v>138488445</v>
      </c>
      <c r="L432" s="23">
        <v>65000</v>
      </c>
      <c r="M432" s="23">
        <v>784</v>
      </c>
      <c r="N432" s="22">
        <v>0</v>
      </c>
      <c r="O432" s="26">
        <f>K432/G432</f>
        <v>1.3773092491297862E-2</v>
      </c>
      <c r="P432" s="27">
        <f>K432/I432</f>
        <v>0.12476436486486486</v>
      </c>
      <c r="Q432" s="22" t="b">
        <v>1</v>
      </c>
    </row>
    <row r="433" spans="1:18" x14ac:dyDescent="0.15">
      <c r="A433" s="13">
        <v>432</v>
      </c>
      <c r="B433" s="13">
        <v>3030</v>
      </c>
      <c r="C433" s="16">
        <v>20</v>
      </c>
      <c r="D433" s="17" t="s">
        <v>1489</v>
      </c>
      <c r="E433" s="17" t="s">
        <v>835</v>
      </c>
      <c r="F433" s="12">
        <v>4002</v>
      </c>
      <c r="G433" s="12">
        <f>F433*1000000</f>
        <v>4002000000</v>
      </c>
      <c r="H433" s="12">
        <v>454</v>
      </c>
      <c r="I433" s="12">
        <f>H433*1000000</f>
        <v>454000000</v>
      </c>
      <c r="J433" s="17" t="s">
        <v>836</v>
      </c>
      <c r="K433" s="12">
        <v>44000000</v>
      </c>
      <c r="L433" s="4">
        <v>9558</v>
      </c>
      <c r="M433" s="4">
        <v>283</v>
      </c>
      <c r="N433" s="13">
        <v>1</v>
      </c>
      <c r="O433" s="18">
        <f>K433/G433</f>
        <v>1.0994502748625687E-2</v>
      </c>
      <c r="P433" s="19">
        <f>K433/I433</f>
        <v>9.6916299559471369E-2</v>
      </c>
      <c r="Q433" s="13"/>
    </row>
    <row r="434" spans="1:18" x14ac:dyDescent="0.15">
      <c r="A434" s="13">
        <v>433</v>
      </c>
      <c r="B434" s="13">
        <v>3026</v>
      </c>
      <c r="C434" s="16">
        <v>3</v>
      </c>
      <c r="D434" s="17" t="s">
        <v>1472</v>
      </c>
      <c r="E434" s="17" t="s">
        <v>837</v>
      </c>
      <c r="F434" s="12">
        <v>1069</v>
      </c>
      <c r="G434" s="12">
        <f>F434*1000000</f>
        <v>1069000000</v>
      </c>
      <c r="H434" s="13" t="s">
        <v>63</v>
      </c>
      <c r="I434" s="12" t="e">
        <f>H434*1000000</f>
        <v>#VALUE!</v>
      </c>
      <c r="J434" s="17" t="s">
        <v>838</v>
      </c>
      <c r="K434" s="12">
        <v>12200000</v>
      </c>
      <c r="L434" s="4">
        <v>5000</v>
      </c>
      <c r="M434" s="4">
        <v>70</v>
      </c>
      <c r="N434" s="13">
        <v>1</v>
      </c>
      <c r="O434" s="18">
        <f>K434/G434</f>
        <v>1.1412535079513564E-2</v>
      </c>
      <c r="P434" s="19" t="e">
        <f>K434/I434</f>
        <v>#VALUE!</v>
      </c>
      <c r="Q434" s="13"/>
    </row>
    <row r="435" spans="1:18" x14ac:dyDescent="0.15">
      <c r="A435" s="13">
        <v>434</v>
      </c>
      <c r="B435" s="13">
        <v>3011</v>
      </c>
      <c r="C435" s="16">
        <v>17</v>
      </c>
      <c r="D435" s="17" t="s">
        <v>1486</v>
      </c>
      <c r="E435" s="17" t="s">
        <v>839</v>
      </c>
      <c r="F435" s="12">
        <v>6002</v>
      </c>
      <c r="G435" s="12">
        <f>F435*1000000</f>
        <v>6002000000</v>
      </c>
      <c r="H435" s="13" t="s">
        <v>63</v>
      </c>
      <c r="I435" s="12" t="e">
        <f>H435*1000000</f>
        <v>#VALUE!</v>
      </c>
      <c r="J435" s="17" t="s">
        <v>840</v>
      </c>
      <c r="K435" s="12">
        <v>43000000</v>
      </c>
      <c r="L435" s="4">
        <v>51350</v>
      </c>
      <c r="M435" s="4">
        <v>385</v>
      </c>
      <c r="N435" s="13">
        <v>1</v>
      </c>
      <c r="O435" s="18">
        <f>K435/G435</f>
        <v>7.1642785738087302E-3</v>
      </c>
      <c r="P435" s="19" t="e">
        <f>K435/I435</f>
        <v>#VALUE!</v>
      </c>
      <c r="Q435" s="13"/>
    </row>
    <row r="436" spans="1:18" x14ac:dyDescent="0.15">
      <c r="A436" s="22">
        <v>435</v>
      </c>
      <c r="B436" s="22">
        <v>3003</v>
      </c>
      <c r="C436" s="23">
        <v>20</v>
      </c>
      <c r="D436" s="24" t="s">
        <v>1489</v>
      </c>
      <c r="E436" s="24" t="s">
        <v>841</v>
      </c>
      <c r="F436" s="25">
        <v>1685</v>
      </c>
      <c r="G436" s="25">
        <f>F436*1000000</f>
        <v>1685000000</v>
      </c>
      <c r="H436" s="25">
        <v>227</v>
      </c>
      <c r="I436" s="25">
        <f>H436*1000000</f>
        <v>227000000</v>
      </c>
      <c r="J436" s="24" t="s">
        <v>842</v>
      </c>
      <c r="K436" s="25">
        <v>37741805</v>
      </c>
      <c r="L436" s="23">
        <v>7915</v>
      </c>
      <c r="M436" s="23">
        <v>187</v>
      </c>
      <c r="N436" s="22">
        <v>0</v>
      </c>
      <c r="O436" s="26">
        <f>K436/G436</f>
        <v>2.2398697329376854E-2</v>
      </c>
      <c r="P436" s="27">
        <f>K436/I436</f>
        <v>0.16626345814977975</v>
      </c>
      <c r="Q436" s="22" t="b">
        <v>1</v>
      </c>
    </row>
    <row r="437" spans="1:18" x14ac:dyDescent="0.15">
      <c r="A437" s="13">
        <v>436</v>
      </c>
      <c r="B437" s="13">
        <v>2993</v>
      </c>
      <c r="C437" s="16">
        <v>12</v>
      </c>
      <c r="D437" s="17" t="s">
        <v>1481</v>
      </c>
      <c r="E437" s="17" t="s">
        <v>843</v>
      </c>
      <c r="F437" s="12">
        <v>1030</v>
      </c>
      <c r="G437" s="12">
        <f>F437*1000000</f>
        <v>1030000000</v>
      </c>
      <c r="H437" s="13" t="s">
        <v>63</v>
      </c>
      <c r="I437" s="12" t="e">
        <f>H437*1000000</f>
        <v>#VALUE!</v>
      </c>
      <c r="J437" s="17" t="s">
        <v>844</v>
      </c>
      <c r="K437" s="12">
        <v>6800000</v>
      </c>
      <c r="L437" s="4">
        <v>9000</v>
      </c>
      <c r="M437" s="4">
        <v>83</v>
      </c>
      <c r="N437" s="13">
        <v>1</v>
      </c>
      <c r="O437" s="18">
        <f>K437/G437</f>
        <v>6.6019417475728153E-3</v>
      </c>
      <c r="P437" s="19" t="e">
        <f>K437/I437</f>
        <v>#VALUE!</v>
      </c>
      <c r="Q437" s="13"/>
    </row>
    <row r="438" spans="1:18" x14ac:dyDescent="0.15">
      <c r="A438" s="22">
        <v>437</v>
      </c>
      <c r="B438" s="22">
        <v>2986</v>
      </c>
      <c r="C438" s="23">
        <v>20</v>
      </c>
      <c r="D438" s="24" t="s">
        <v>1489</v>
      </c>
      <c r="E438" s="24" t="s">
        <v>845</v>
      </c>
      <c r="F438" s="25">
        <v>3619</v>
      </c>
      <c r="G438" s="25">
        <f>F438*1000000</f>
        <v>3619000000</v>
      </c>
      <c r="H438" s="25">
        <v>203</v>
      </c>
      <c r="I438" s="25">
        <f>H438*1000000</f>
        <v>203000000</v>
      </c>
      <c r="J438" s="24" t="s">
        <v>846</v>
      </c>
      <c r="K438" s="25">
        <v>81060885</v>
      </c>
      <c r="L438" s="23">
        <v>10500</v>
      </c>
      <c r="M438" s="23">
        <v>400</v>
      </c>
      <c r="N438" s="22">
        <v>0</v>
      </c>
      <c r="O438" s="26">
        <f>K438/G438</f>
        <v>2.2398697153909918E-2</v>
      </c>
      <c r="P438" s="27">
        <f>K438/I438</f>
        <v>0.39931470443349754</v>
      </c>
      <c r="Q438" s="22" t="b">
        <v>1</v>
      </c>
    </row>
    <row r="439" spans="1:18" x14ac:dyDescent="0.15">
      <c r="A439" s="22">
        <v>438</v>
      </c>
      <c r="B439" s="22">
        <v>2972</v>
      </c>
      <c r="C439" s="23">
        <v>2</v>
      </c>
      <c r="D439" s="24" t="s">
        <v>1471</v>
      </c>
      <c r="E439" s="24" t="s">
        <v>847</v>
      </c>
      <c r="F439" s="25">
        <v>2497</v>
      </c>
      <c r="G439" s="25">
        <f>F439*1000000</f>
        <v>2497000000</v>
      </c>
      <c r="H439" s="25">
        <v>416</v>
      </c>
      <c r="I439" s="25">
        <f>H439*1000000</f>
        <v>416000000</v>
      </c>
      <c r="J439" s="24" t="s">
        <v>848</v>
      </c>
      <c r="K439" s="25">
        <v>122050453</v>
      </c>
      <c r="L439" s="23">
        <v>13526</v>
      </c>
      <c r="M439" s="23">
        <v>562</v>
      </c>
      <c r="N439" s="22">
        <v>0</v>
      </c>
      <c r="O439" s="26">
        <f>K439/G439</f>
        <v>4.8878835802963559E-2</v>
      </c>
      <c r="P439" s="27">
        <f>K439/I439</f>
        <v>0.29339051201923078</v>
      </c>
      <c r="Q439" s="22" t="b">
        <v>1</v>
      </c>
    </row>
    <row r="440" spans="1:18" x14ac:dyDescent="0.15">
      <c r="A440" s="22">
        <v>439</v>
      </c>
      <c r="B440" s="22">
        <v>2971</v>
      </c>
      <c r="C440" s="23">
        <v>11</v>
      </c>
      <c r="D440" s="24" t="s">
        <v>1480</v>
      </c>
      <c r="E440" s="24" t="s">
        <v>849</v>
      </c>
      <c r="F440" s="25">
        <v>6500</v>
      </c>
      <c r="G440" s="25">
        <f>F440*1000000</f>
        <v>6500000000</v>
      </c>
      <c r="H440" s="22" t="s">
        <v>63</v>
      </c>
      <c r="I440" s="25" t="e">
        <f>H440*1000000</f>
        <v>#VALUE!</v>
      </c>
      <c r="J440" s="24" t="s">
        <v>850</v>
      </c>
      <c r="K440" s="25">
        <v>121459853</v>
      </c>
      <c r="L440" s="23" t="s">
        <v>63</v>
      </c>
      <c r="M440" s="23">
        <v>1013</v>
      </c>
      <c r="N440" s="22">
        <v>0</v>
      </c>
      <c r="O440" s="26">
        <f>K440/G440</f>
        <v>1.8686131230769232E-2</v>
      </c>
      <c r="P440" s="27" t="e">
        <f>K440/I440</f>
        <v>#VALUE!</v>
      </c>
      <c r="Q440" s="22" t="b">
        <v>1</v>
      </c>
    </row>
    <row r="441" spans="1:18" x14ac:dyDescent="0.15">
      <c r="A441" s="13">
        <v>440</v>
      </c>
      <c r="B441" s="13">
        <v>2957</v>
      </c>
      <c r="C441" s="16">
        <v>13</v>
      </c>
      <c r="D441" s="17" t="s">
        <v>1482</v>
      </c>
      <c r="E441" s="17" t="s">
        <v>851</v>
      </c>
      <c r="F441" s="12">
        <v>3712</v>
      </c>
      <c r="G441" s="12">
        <f>F441*1000000</f>
        <v>3712000000</v>
      </c>
      <c r="H441" s="12">
        <v>282</v>
      </c>
      <c r="I441" s="12">
        <f>H441*1000000</f>
        <v>282000000</v>
      </c>
      <c r="J441" s="17" t="s">
        <v>852</v>
      </c>
      <c r="K441" s="12">
        <v>34900000</v>
      </c>
      <c r="L441" s="4">
        <v>6500</v>
      </c>
      <c r="M441" s="4">
        <v>212</v>
      </c>
      <c r="N441" s="13">
        <v>1</v>
      </c>
      <c r="O441" s="18">
        <f>K441/G441</f>
        <v>9.4019396551724144E-3</v>
      </c>
      <c r="P441" s="19">
        <f>K441/I441</f>
        <v>0.12375886524822695</v>
      </c>
      <c r="Q441" s="13"/>
    </row>
    <row r="442" spans="1:18" x14ac:dyDescent="0.15">
      <c r="A442" s="13">
        <v>441</v>
      </c>
      <c r="B442" s="13">
        <v>2952</v>
      </c>
      <c r="C442" s="16">
        <v>12</v>
      </c>
      <c r="D442" s="17" t="s">
        <v>1481</v>
      </c>
      <c r="E442" s="17" t="s">
        <v>853</v>
      </c>
      <c r="F442" s="12">
        <v>2142</v>
      </c>
      <c r="G442" s="12">
        <f>F442*1000000</f>
        <v>2142000000</v>
      </c>
      <c r="H442" s="12">
        <v>93</v>
      </c>
      <c r="I442" s="12">
        <f>H442*1000000</f>
        <v>93000000</v>
      </c>
      <c r="J442" s="17" t="s">
        <v>854</v>
      </c>
      <c r="K442" s="12">
        <v>48000000</v>
      </c>
      <c r="L442" s="4">
        <v>23000</v>
      </c>
      <c r="M442" s="4">
        <v>462</v>
      </c>
      <c r="N442" s="13">
        <v>1</v>
      </c>
      <c r="O442" s="18">
        <f>K442/G442</f>
        <v>2.2408963585434174E-2</v>
      </c>
      <c r="P442" s="19">
        <f>K442/I442</f>
        <v>0.5161290322580645</v>
      </c>
      <c r="Q442" s="13"/>
    </row>
    <row r="443" spans="1:18" x14ac:dyDescent="0.15">
      <c r="A443" s="22">
        <v>442</v>
      </c>
      <c r="B443" s="22">
        <v>2952</v>
      </c>
      <c r="C443" s="23">
        <v>19</v>
      </c>
      <c r="D443" s="24" t="s">
        <v>1488</v>
      </c>
      <c r="E443" s="24" t="s">
        <v>855</v>
      </c>
      <c r="F443" s="25">
        <v>1733</v>
      </c>
      <c r="G443" s="25">
        <f>F443*1000000</f>
        <v>1733000000</v>
      </c>
      <c r="H443" s="25">
        <v>46</v>
      </c>
      <c r="I443" s="25">
        <f>H443*1000000</f>
        <v>46000000</v>
      </c>
      <c r="J443" s="24" t="s">
        <v>88</v>
      </c>
      <c r="K443" s="25">
        <v>47637432</v>
      </c>
      <c r="L443" s="23">
        <v>4200</v>
      </c>
      <c r="M443" s="23">
        <v>31</v>
      </c>
      <c r="N443" s="22">
        <v>0</v>
      </c>
      <c r="O443" s="26">
        <f>K443/G443</f>
        <v>2.7488420080784767E-2</v>
      </c>
      <c r="P443" s="27">
        <f>K443/I443</f>
        <v>1.035596347826087</v>
      </c>
      <c r="Q443" s="22" t="b">
        <v>1</v>
      </c>
      <c r="R443" s="13"/>
    </row>
    <row r="444" spans="1:18" x14ac:dyDescent="0.15">
      <c r="A444" s="22">
        <v>443</v>
      </c>
      <c r="B444" s="22">
        <v>2950</v>
      </c>
      <c r="C444" s="23">
        <v>12</v>
      </c>
      <c r="D444" s="24" t="s">
        <v>1481</v>
      </c>
      <c r="E444" s="24" t="s">
        <v>856</v>
      </c>
      <c r="F444" s="25">
        <v>828</v>
      </c>
      <c r="G444" s="25">
        <f>F444*1000000</f>
        <v>828000000</v>
      </c>
      <c r="H444" s="22" t="s">
        <v>63</v>
      </c>
      <c r="I444" s="25" t="e">
        <f>H444*1000000</f>
        <v>#VALUE!</v>
      </c>
      <c r="J444" s="24" t="s">
        <v>857</v>
      </c>
      <c r="K444" s="25">
        <v>10453836</v>
      </c>
      <c r="L444" s="23">
        <v>5700</v>
      </c>
      <c r="M444" s="23">
        <v>71</v>
      </c>
      <c r="N444" s="22">
        <v>0</v>
      </c>
      <c r="O444" s="26">
        <f>K444/G444</f>
        <v>1.262540579710145E-2</v>
      </c>
      <c r="P444" s="27" t="e">
        <f>K444/I444</f>
        <v>#VALUE!</v>
      </c>
      <c r="Q444" s="22" t="b">
        <v>1</v>
      </c>
    </row>
    <row r="445" spans="1:18" x14ac:dyDescent="0.15">
      <c r="A445" s="22">
        <v>444</v>
      </c>
      <c r="B445" s="22">
        <v>2946</v>
      </c>
      <c r="C445" s="23">
        <v>11</v>
      </c>
      <c r="D445" s="24" t="s">
        <v>1480</v>
      </c>
      <c r="E445" s="24" t="s">
        <v>858</v>
      </c>
      <c r="F445" s="25">
        <v>3047</v>
      </c>
      <c r="G445" s="25">
        <f>F445*1000000</f>
        <v>3047000000</v>
      </c>
      <c r="H445" s="25">
        <v>44</v>
      </c>
      <c r="I445" s="25">
        <f>H445*1000000</f>
        <v>44000000</v>
      </c>
      <c r="J445" s="24" t="s">
        <v>859</v>
      </c>
      <c r="K445" s="25">
        <v>56936642</v>
      </c>
      <c r="L445" s="23">
        <v>9675</v>
      </c>
      <c r="M445" s="23">
        <v>475</v>
      </c>
      <c r="N445" s="22">
        <v>0</v>
      </c>
      <c r="O445" s="26">
        <f>K445/G445</f>
        <v>1.8686131276665574E-2</v>
      </c>
      <c r="P445" s="27">
        <f>K445/I445</f>
        <v>1.294014590909091</v>
      </c>
      <c r="Q445" s="22" t="b">
        <v>1</v>
      </c>
    </row>
    <row r="446" spans="1:18" x14ac:dyDescent="0.15">
      <c r="A446" s="22">
        <v>445</v>
      </c>
      <c r="B446" s="22">
        <v>2944</v>
      </c>
      <c r="C446" s="23">
        <v>12</v>
      </c>
      <c r="D446" s="24" t="s">
        <v>1481</v>
      </c>
      <c r="E446" s="24" t="s">
        <v>860</v>
      </c>
      <c r="F446" s="25">
        <v>8010</v>
      </c>
      <c r="G446" s="25">
        <f>F446*1000000</f>
        <v>8010000000</v>
      </c>
      <c r="H446" s="22" t="s">
        <v>63</v>
      </c>
      <c r="I446" s="25" t="e">
        <f>H446*1000000</f>
        <v>#VALUE!</v>
      </c>
      <c r="J446" s="24" t="s">
        <v>88</v>
      </c>
      <c r="K446" s="25">
        <v>101129504</v>
      </c>
      <c r="L446" s="23">
        <v>10000</v>
      </c>
      <c r="M446" s="23">
        <v>689</v>
      </c>
      <c r="N446" s="22">
        <v>0</v>
      </c>
      <c r="O446" s="26">
        <f>K446/G446</f>
        <v>1.2625406242197254E-2</v>
      </c>
      <c r="P446" s="27" t="e">
        <f>K446/I446</f>
        <v>#VALUE!</v>
      </c>
      <c r="Q446" s="22" t="b">
        <v>1</v>
      </c>
    </row>
    <row r="447" spans="1:18" x14ac:dyDescent="0.15">
      <c r="A447" s="13">
        <v>446</v>
      </c>
      <c r="B447" s="13">
        <v>2939</v>
      </c>
      <c r="C447" s="16">
        <v>9</v>
      </c>
      <c r="D447" s="17" t="s">
        <v>1478</v>
      </c>
      <c r="E447" s="17" t="s">
        <v>861</v>
      </c>
      <c r="F447" s="12">
        <v>4723</v>
      </c>
      <c r="G447" s="12">
        <f>F447*1000000</f>
        <v>4723000000</v>
      </c>
      <c r="H447" s="13" t="s">
        <v>63</v>
      </c>
      <c r="I447" s="12" t="e">
        <f>H447*1000000</f>
        <v>#VALUE!</v>
      </c>
      <c r="J447" s="17" t="s">
        <v>862</v>
      </c>
      <c r="K447" s="12">
        <v>20000000</v>
      </c>
      <c r="L447" s="4">
        <v>11000</v>
      </c>
      <c r="M447" s="4">
        <v>360</v>
      </c>
      <c r="N447" s="13">
        <v>1</v>
      </c>
      <c r="O447" s="18">
        <f>K447/G447</f>
        <v>4.2345966546686424E-3</v>
      </c>
      <c r="P447" s="19" t="e">
        <f>K447/I447</f>
        <v>#VALUE!</v>
      </c>
      <c r="Q447" s="13"/>
    </row>
    <row r="448" spans="1:18" x14ac:dyDescent="0.15">
      <c r="A448" s="13">
        <v>447</v>
      </c>
      <c r="B448" s="13">
        <v>2937</v>
      </c>
      <c r="C448" s="16">
        <v>2</v>
      </c>
      <c r="D448" s="17" t="s">
        <v>1471</v>
      </c>
      <c r="E448" s="17" t="s">
        <v>863</v>
      </c>
      <c r="F448" s="12">
        <v>2559</v>
      </c>
      <c r="G448" s="12">
        <f>F448*1000000</f>
        <v>2559000000</v>
      </c>
      <c r="H448" s="12">
        <v>387</v>
      </c>
      <c r="I448" s="12">
        <f>H448*1000000</f>
        <v>387000000</v>
      </c>
      <c r="J448" s="17" t="s">
        <v>864</v>
      </c>
      <c r="K448" s="12">
        <v>86000000</v>
      </c>
      <c r="L448" s="4">
        <v>13498</v>
      </c>
      <c r="M448" s="4">
        <v>60</v>
      </c>
      <c r="N448" s="13">
        <v>1</v>
      </c>
      <c r="O448" s="18">
        <f>K448/G448</f>
        <v>3.3606877686596329E-2</v>
      </c>
      <c r="P448" s="19">
        <f>K448/I448</f>
        <v>0.22222222222222221</v>
      </c>
      <c r="Q448" s="13"/>
    </row>
    <row r="449" spans="1:18" x14ac:dyDescent="0.15">
      <c r="A449" s="13">
        <v>448</v>
      </c>
      <c r="B449" s="13">
        <v>2929</v>
      </c>
      <c r="C449" s="16">
        <v>5</v>
      </c>
      <c r="D449" s="17" t="s">
        <v>1474</v>
      </c>
      <c r="E449" s="17" t="s">
        <v>865</v>
      </c>
      <c r="F449" s="12">
        <v>3373</v>
      </c>
      <c r="G449" s="12">
        <f>F449*1000000</f>
        <v>3373000000</v>
      </c>
      <c r="H449" s="12">
        <v>151</v>
      </c>
      <c r="I449" s="12">
        <f>H449*1000000</f>
        <v>151000000</v>
      </c>
      <c r="J449" s="17" t="s">
        <v>866</v>
      </c>
      <c r="K449" s="12">
        <v>70000000</v>
      </c>
      <c r="L449" s="4">
        <v>17000</v>
      </c>
      <c r="M449" s="4">
        <v>290</v>
      </c>
      <c r="N449" s="13">
        <v>1</v>
      </c>
      <c r="O449" s="18">
        <f>K449/G449</f>
        <v>2.0753038837829824E-2</v>
      </c>
      <c r="P449" s="19">
        <f>K449/I449</f>
        <v>0.46357615894039733</v>
      </c>
      <c r="Q449" s="13"/>
    </row>
    <row r="450" spans="1:18" x14ac:dyDescent="0.15">
      <c r="A450" s="28">
        <v>449</v>
      </c>
      <c r="B450" s="28">
        <v>2923</v>
      </c>
      <c r="C450" s="29">
        <v>7</v>
      </c>
      <c r="D450" s="30" t="s">
        <v>1476</v>
      </c>
      <c r="E450" s="30" t="s">
        <v>867</v>
      </c>
      <c r="F450" s="28" t="s">
        <v>248</v>
      </c>
      <c r="G450" s="31" t="e">
        <f>F450*1000000</f>
        <v>#VALUE!</v>
      </c>
      <c r="H450" s="28" t="s">
        <v>63</v>
      </c>
      <c r="I450" s="31" t="e">
        <f>H450*1000000</f>
        <v>#VALUE!</v>
      </c>
      <c r="J450" s="30" t="s">
        <v>868</v>
      </c>
      <c r="K450" s="28" t="e">
        <v>#N/A</v>
      </c>
      <c r="L450" s="29">
        <v>12000</v>
      </c>
      <c r="M450" s="29" t="s">
        <v>63</v>
      </c>
      <c r="N450" s="28">
        <v>1</v>
      </c>
      <c r="O450" s="32" t="e">
        <f>K450/G450</f>
        <v>#N/A</v>
      </c>
      <c r="P450" s="33" t="e">
        <f>K450/I450</f>
        <v>#N/A</v>
      </c>
      <c r="Q450" s="28"/>
      <c r="R450" s="28" t="b">
        <v>1</v>
      </c>
    </row>
    <row r="451" spans="1:18" x14ac:dyDescent="0.15">
      <c r="A451" s="13">
        <v>450</v>
      </c>
      <c r="B451" s="13">
        <v>2894</v>
      </c>
      <c r="C451" s="16">
        <v>20</v>
      </c>
      <c r="D451" s="17" t="s">
        <v>1489</v>
      </c>
      <c r="E451" s="17" t="s">
        <v>869</v>
      </c>
      <c r="F451" s="12">
        <v>3629</v>
      </c>
      <c r="G451" s="12">
        <f>F451*1000000</f>
        <v>3629000000</v>
      </c>
      <c r="H451" s="12">
        <v>412</v>
      </c>
      <c r="I451" s="12">
        <f>H451*1000000</f>
        <v>412000000</v>
      </c>
      <c r="J451" s="17" t="s">
        <v>870</v>
      </c>
      <c r="K451" s="12">
        <v>180000000</v>
      </c>
      <c r="L451" s="4">
        <v>8055</v>
      </c>
      <c r="M451" s="4">
        <v>407</v>
      </c>
      <c r="N451" s="13">
        <v>1</v>
      </c>
      <c r="O451" s="18">
        <f>K451/G451</f>
        <v>4.9600440892807934E-2</v>
      </c>
      <c r="P451" s="19">
        <f>K451/I451</f>
        <v>0.43689320388349512</v>
      </c>
      <c r="Q451" s="13"/>
    </row>
    <row r="452" spans="1:18" x14ac:dyDescent="0.15">
      <c r="A452" s="22">
        <v>451</v>
      </c>
      <c r="B452" s="22">
        <v>2890</v>
      </c>
      <c r="C452" s="23">
        <v>16</v>
      </c>
      <c r="D452" s="24" t="s">
        <v>1485</v>
      </c>
      <c r="E452" s="24" t="s">
        <v>871</v>
      </c>
      <c r="F452" s="25">
        <v>1793</v>
      </c>
      <c r="G452" s="25">
        <f>F452*1000000</f>
        <v>1793000000</v>
      </c>
      <c r="H452" s="25">
        <v>77</v>
      </c>
      <c r="I452" s="25">
        <f>H452*1000000</f>
        <v>77000000</v>
      </c>
      <c r="J452" s="24" t="s">
        <v>872</v>
      </c>
      <c r="K452" s="25">
        <v>41377362</v>
      </c>
      <c r="L452" s="23">
        <v>6610</v>
      </c>
      <c r="M452" s="23">
        <v>170</v>
      </c>
      <c r="N452" s="22">
        <v>0</v>
      </c>
      <c r="O452" s="26">
        <f>K452/G452</f>
        <v>2.3077167875069717E-2</v>
      </c>
      <c r="P452" s="27">
        <f>K452/I452</f>
        <v>0.53736833766233771</v>
      </c>
      <c r="Q452" s="22" t="b">
        <v>1</v>
      </c>
    </row>
    <row r="453" spans="1:18" x14ac:dyDescent="0.15">
      <c r="A453" s="22">
        <v>452</v>
      </c>
      <c r="B453" s="22">
        <v>2890</v>
      </c>
      <c r="C453" s="23">
        <v>8</v>
      </c>
      <c r="D453" s="24" t="s">
        <v>1477</v>
      </c>
      <c r="E453" s="24" t="s">
        <v>873</v>
      </c>
      <c r="F453" s="25">
        <v>1652</v>
      </c>
      <c r="G453" s="25">
        <f>F453*1000000</f>
        <v>1652000000</v>
      </c>
      <c r="H453" s="25">
        <v>208</v>
      </c>
      <c r="I453" s="25">
        <f>H453*1000000</f>
        <v>208000000</v>
      </c>
      <c r="J453" s="24" t="s">
        <v>874</v>
      </c>
      <c r="K453" s="25">
        <v>108953198</v>
      </c>
      <c r="L453" s="23">
        <v>19300</v>
      </c>
      <c r="M453" s="23">
        <v>349</v>
      </c>
      <c r="N453" s="22">
        <v>0</v>
      </c>
      <c r="O453" s="26">
        <f>K453/G453</f>
        <v>6.5952299031476994E-2</v>
      </c>
      <c r="P453" s="27">
        <f>K453/I453</f>
        <v>0.52381345192307693</v>
      </c>
      <c r="Q453" s="22" t="b">
        <v>1</v>
      </c>
    </row>
    <row r="454" spans="1:18" x14ac:dyDescent="0.15">
      <c r="A454" s="22">
        <v>453</v>
      </c>
      <c r="B454" s="22">
        <v>2890</v>
      </c>
      <c r="C454" s="23">
        <v>1</v>
      </c>
      <c r="D454" s="24" t="s">
        <v>1470</v>
      </c>
      <c r="E454" s="24" t="s">
        <v>875</v>
      </c>
      <c r="F454" s="25">
        <v>1654</v>
      </c>
      <c r="G454" s="25">
        <f>F454*1000000</f>
        <v>1654000000</v>
      </c>
      <c r="H454" s="25">
        <v>56</v>
      </c>
      <c r="I454" s="25">
        <f>H454*1000000</f>
        <v>56000000</v>
      </c>
      <c r="J454" s="24" t="s">
        <v>88</v>
      </c>
      <c r="K454" s="25">
        <v>30121272</v>
      </c>
      <c r="L454" s="23">
        <v>8700</v>
      </c>
      <c r="M454" s="23">
        <v>227</v>
      </c>
      <c r="N454" s="22">
        <v>0</v>
      </c>
      <c r="O454" s="26">
        <f>K454/G454</f>
        <v>1.8211168077388151E-2</v>
      </c>
      <c r="P454" s="27">
        <f>K454/I454</f>
        <v>0.53787985714285713</v>
      </c>
      <c r="Q454" s="22" t="b">
        <v>1</v>
      </c>
    </row>
    <row r="455" spans="1:18" x14ac:dyDescent="0.15">
      <c r="A455" s="7">
        <v>454</v>
      </c>
      <c r="B455" s="7">
        <v>2877</v>
      </c>
      <c r="C455" s="8">
        <v>2</v>
      </c>
      <c r="D455" s="9" t="s">
        <v>1471</v>
      </c>
      <c r="E455" s="9" t="s">
        <v>876</v>
      </c>
      <c r="F455" s="10">
        <v>852</v>
      </c>
      <c r="G455" s="10">
        <f>F455*1000000</f>
        <v>852000000</v>
      </c>
      <c r="H455" s="10">
        <v>159</v>
      </c>
      <c r="I455" s="10">
        <f>H455*1000000</f>
        <v>159000000</v>
      </c>
      <c r="J455" s="9" t="s">
        <v>88</v>
      </c>
      <c r="K455" s="10">
        <v>60951908</v>
      </c>
      <c r="L455" s="8">
        <v>6917</v>
      </c>
      <c r="M455" s="8">
        <v>281</v>
      </c>
      <c r="N455" s="7">
        <v>0</v>
      </c>
      <c r="O455" s="14">
        <f>K455/G455</f>
        <v>7.1539798122065734E-2</v>
      </c>
      <c r="P455" s="15">
        <f>K455/I455</f>
        <v>0.38334533333333332</v>
      </c>
      <c r="Q455" s="7"/>
      <c r="R455" s="13"/>
    </row>
    <row r="456" spans="1:18" x14ac:dyDescent="0.15">
      <c r="A456" s="7">
        <v>455</v>
      </c>
      <c r="B456" s="7">
        <v>2874</v>
      </c>
      <c r="C456" s="8">
        <v>2</v>
      </c>
      <c r="D456" s="9" t="s">
        <v>1471</v>
      </c>
      <c r="E456" s="9" t="s">
        <v>877</v>
      </c>
      <c r="F456" s="10">
        <v>2750</v>
      </c>
      <c r="G456" s="10">
        <f>F456*1000000</f>
        <v>2750000000</v>
      </c>
      <c r="H456" s="10">
        <v>539</v>
      </c>
      <c r="I456" s="10">
        <f>H456*1000000</f>
        <v>539000000</v>
      </c>
      <c r="J456" s="9" t="s">
        <v>878</v>
      </c>
      <c r="K456" s="10">
        <v>124387450</v>
      </c>
      <c r="L456" s="8">
        <v>15531</v>
      </c>
      <c r="M456" s="8">
        <v>1037</v>
      </c>
      <c r="N456" s="7">
        <v>0</v>
      </c>
      <c r="O456" s="14">
        <f>K456/G456</f>
        <v>4.5231800000000003E-2</v>
      </c>
      <c r="P456" s="15">
        <f>K456/I456</f>
        <v>0.23077448979591836</v>
      </c>
      <c r="Q456" s="7"/>
    </row>
    <row r="457" spans="1:18" x14ac:dyDescent="0.15">
      <c r="A457" s="13">
        <v>456</v>
      </c>
      <c r="B457" s="13">
        <v>2873</v>
      </c>
      <c r="C457" s="16">
        <v>7</v>
      </c>
      <c r="D457" s="17" t="s">
        <v>1476</v>
      </c>
      <c r="E457" s="17" t="s">
        <v>879</v>
      </c>
      <c r="F457" s="12">
        <v>9908</v>
      </c>
      <c r="G457" s="12">
        <f>F457*1000000</f>
        <v>9908000000</v>
      </c>
      <c r="H457" s="12">
        <v>97</v>
      </c>
      <c r="I457" s="12">
        <f>H457*1000000</f>
        <v>97000000</v>
      </c>
      <c r="J457" s="17" t="s">
        <v>880</v>
      </c>
      <c r="K457" s="12">
        <v>73000000</v>
      </c>
      <c r="L457" s="4">
        <v>7000</v>
      </c>
      <c r="M457" s="4">
        <v>250</v>
      </c>
      <c r="N457" s="13">
        <v>1</v>
      </c>
      <c r="O457" s="18">
        <f>K457/G457</f>
        <v>7.3677836092046834E-3</v>
      </c>
      <c r="P457" s="19">
        <f>K457/I457</f>
        <v>0.75257731958762886</v>
      </c>
      <c r="Q457" s="13"/>
    </row>
    <row r="458" spans="1:18" x14ac:dyDescent="0.15">
      <c r="A458" s="13">
        <v>457</v>
      </c>
      <c r="B458" s="13">
        <v>2861</v>
      </c>
      <c r="C458" s="16">
        <v>20</v>
      </c>
      <c r="D458" s="17" t="s">
        <v>1489</v>
      </c>
      <c r="E458" s="17" t="s">
        <v>881</v>
      </c>
      <c r="F458" s="12">
        <v>5916</v>
      </c>
      <c r="G458" s="12">
        <f>F458*1000000</f>
        <v>5916000000</v>
      </c>
      <c r="H458" s="12">
        <v>679</v>
      </c>
      <c r="I458" s="12">
        <f>H458*1000000</f>
        <v>679000000</v>
      </c>
      <c r="J458" s="17" t="s">
        <v>882</v>
      </c>
      <c r="K458" s="12">
        <v>106000000</v>
      </c>
      <c r="L458" s="4">
        <v>11919</v>
      </c>
      <c r="M458" s="4">
        <v>657</v>
      </c>
      <c r="N458" s="13">
        <v>1</v>
      </c>
      <c r="O458" s="18">
        <f>K458/G458</f>
        <v>1.7917511832319134E-2</v>
      </c>
      <c r="P458" s="19">
        <f>K458/I458</f>
        <v>0.1561119293078056</v>
      </c>
      <c r="Q458" s="13"/>
    </row>
    <row r="459" spans="1:18" x14ac:dyDescent="0.15">
      <c r="A459" s="22">
        <v>458</v>
      </c>
      <c r="B459" s="22">
        <v>2853</v>
      </c>
      <c r="C459" s="23">
        <v>14</v>
      </c>
      <c r="D459" s="24" t="s">
        <v>1483</v>
      </c>
      <c r="E459" s="24" t="s">
        <v>883</v>
      </c>
      <c r="F459" s="25">
        <v>1666</v>
      </c>
      <c r="G459" s="25">
        <f>F459*1000000</f>
        <v>1666000000</v>
      </c>
      <c r="H459" s="25">
        <v>27</v>
      </c>
      <c r="I459" s="25">
        <f>H459*1000000</f>
        <v>27000000</v>
      </c>
      <c r="J459" s="24" t="s">
        <v>884</v>
      </c>
      <c r="K459" s="25">
        <v>13548773</v>
      </c>
      <c r="L459" s="23">
        <v>4314</v>
      </c>
      <c r="M459" s="23">
        <v>93</v>
      </c>
      <c r="N459" s="22">
        <v>0</v>
      </c>
      <c r="O459" s="26">
        <f>K459/G459</f>
        <v>8.1325168067226897E-3</v>
      </c>
      <c r="P459" s="27">
        <f>K459/I459</f>
        <v>0.50180640740740745</v>
      </c>
      <c r="Q459" s="22" t="b">
        <v>1</v>
      </c>
    </row>
    <row r="460" spans="1:18" x14ac:dyDescent="0.15">
      <c r="A460" s="22">
        <v>459</v>
      </c>
      <c r="B460" s="22">
        <v>2844</v>
      </c>
      <c r="C460" s="23">
        <v>9</v>
      </c>
      <c r="D460" s="24" t="s">
        <v>1478</v>
      </c>
      <c r="E460" s="24" t="s">
        <v>885</v>
      </c>
      <c r="F460" s="25">
        <v>1695</v>
      </c>
      <c r="G460" s="25">
        <f>F460*1000000</f>
        <v>1695000000</v>
      </c>
      <c r="H460" s="25">
        <v>61</v>
      </c>
      <c r="I460" s="25">
        <f>H460*1000000</f>
        <v>61000000</v>
      </c>
      <c r="J460" s="24" t="s">
        <v>886</v>
      </c>
      <c r="K460" s="25">
        <v>20146801</v>
      </c>
      <c r="L460" s="23">
        <v>8900</v>
      </c>
      <c r="M460" s="23">
        <v>161</v>
      </c>
      <c r="N460" s="22">
        <v>0</v>
      </c>
      <c r="O460" s="26">
        <f>K460/G460</f>
        <v>1.1886018289085545E-2</v>
      </c>
      <c r="P460" s="27">
        <f>K460/I460</f>
        <v>0.33027542622950817</v>
      </c>
      <c r="Q460" s="22" t="b">
        <v>1</v>
      </c>
    </row>
    <row r="461" spans="1:18" x14ac:dyDescent="0.15">
      <c r="A461" s="22">
        <v>460</v>
      </c>
      <c r="B461" s="22">
        <v>2834</v>
      </c>
      <c r="C461" s="23">
        <v>10</v>
      </c>
      <c r="D461" s="24" t="s">
        <v>1479</v>
      </c>
      <c r="E461" s="24" t="s">
        <v>887</v>
      </c>
      <c r="F461" s="25">
        <v>1851</v>
      </c>
      <c r="G461" s="25">
        <f>F461*1000000</f>
        <v>1851000000</v>
      </c>
      <c r="H461" s="25">
        <v>14</v>
      </c>
      <c r="I461" s="25">
        <f>H461*1000000</f>
        <v>14000000</v>
      </c>
      <c r="J461" s="24" t="s">
        <v>888</v>
      </c>
      <c r="K461" s="25">
        <v>37961121</v>
      </c>
      <c r="L461" s="23">
        <v>14400</v>
      </c>
      <c r="M461" s="23">
        <v>57</v>
      </c>
      <c r="N461" s="22">
        <v>0</v>
      </c>
      <c r="O461" s="26">
        <f>K461/G461</f>
        <v>2.0508439222042138E-2</v>
      </c>
      <c r="P461" s="27">
        <f>K461/I461</f>
        <v>2.7115086428571429</v>
      </c>
      <c r="Q461" s="22" t="b">
        <v>1</v>
      </c>
    </row>
    <row r="462" spans="1:18" x14ac:dyDescent="0.15">
      <c r="A462" s="22">
        <v>461</v>
      </c>
      <c r="B462" s="22">
        <v>2834</v>
      </c>
      <c r="C462" s="23">
        <v>8</v>
      </c>
      <c r="D462" s="24" t="s">
        <v>1477</v>
      </c>
      <c r="E462" s="24" t="s">
        <v>889</v>
      </c>
      <c r="F462" s="25">
        <v>5354</v>
      </c>
      <c r="G462" s="25">
        <f>F462*1000000</f>
        <v>5354000000</v>
      </c>
      <c r="H462" s="25">
        <v>428</v>
      </c>
      <c r="I462" s="25">
        <f>H462*1000000</f>
        <v>428000000</v>
      </c>
      <c r="J462" s="24" t="s">
        <v>890</v>
      </c>
      <c r="K462" s="25">
        <v>353108608</v>
      </c>
      <c r="L462" s="23">
        <v>10700</v>
      </c>
      <c r="M462" s="23">
        <v>1130</v>
      </c>
      <c r="N462" s="22">
        <v>0</v>
      </c>
      <c r="O462" s="26">
        <f>K462/G462</f>
        <v>6.5952298841987306E-2</v>
      </c>
      <c r="P462" s="27">
        <f>K462/I462</f>
        <v>0.82502011214953275</v>
      </c>
      <c r="Q462" s="22" t="b">
        <v>1</v>
      </c>
    </row>
    <row r="463" spans="1:18" x14ac:dyDescent="0.15">
      <c r="A463" s="22">
        <v>462</v>
      </c>
      <c r="B463" s="22">
        <v>2834</v>
      </c>
      <c r="C463" s="23">
        <v>16</v>
      </c>
      <c r="D463" s="24" t="s">
        <v>1485</v>
      </c>
      <c r="E463" s="24" t="s">
        <v>891</v>
      </c>
      <c r="F463" s="25">
        <v>1442</v>
      </c>
      <c r="G463" s="25">
        <f>F463*1000000</f>
        <v>1442000000</v>
      </c>
      <c r="H463" s="22" t="s">
        <v>63</v>
      </c>
      <c r="I463" s="25" t="e">
        <f>H463*1000000</f>
        <v>#VALUE!</v>
      </c>
      <c r="J463" s="24" t="s">
        <v>892</v>
      </c>
      <c r="K463" s="25">
        <v>33277276</v>
      </c>
      <c r="L463" s="23">
        <v>6080</v>
      </c>
      <c r="M463" s="23">
        <v>137</v>
      </c>
      <c r="N463" s="22">
        <v>0</v>
      </c>
      <c r="O463" s="26">
        <f>K463/G463</f>
        <v>2.3077167822468794E-2</v>
      </c>
      <c r="P463" s="27" t="e">
        <f>K463/I463</f>
        <v>#VALUE!</v>
      </c>
      <c r="Q463" s="22" t="b">
        <v>1</v>
      </c>
    </row>
    <row r="464" spans="1:18" x14ac:dyDescent="0.15">
      <c r="A464" s="13">
        <v>463</v>
      </c>
      <c r="B464" s="13">
        <v>2824</v>
      </c>
      <c r="C464" s="16">
        <v>5</v>
      </c>
      <c r="D464" s="17" t="s">
        <v>1474</v>
      </c>
      <c r="E464" s="17" t="s">
        <v>893</v>
      </c>
      <c r="F464" s="12">
        <v>2313</v>
      </c>
      <c r="G464" s="12">
        <f>F464*1000000</f>
        <v>2313000000</v>
      </c>
      <c r="H464" s="12">
        <v>117</v>
      </c>
      <c r="I464" s="12">
        <f>H464*1000000</f>
        <v>117000000</v>
      </c>
      <c r="J464" s="17" t="s">
        <v>894</v>
      </c>
      <c r="K464" s="12">
        <v>60000000</v>
      </c>
      <c r="L464" s="4">
        <v>16000</v>
      </c>
      <c r="M464" s="4">
        <v>430</v>
      </c>
      <c r="N464" s="13">
        <v>1</v>
      </c>
      <c r="O464" s="18">
        <f>K464/G464</f>
        <v>2.5940337224383919E-2</v>
      </c>
      <c r="P464" s="19">
        <f>K464/I464</f>
        <v>0.51282051282051277</v>
      </c>
      <c r="Q464" s="13"/>
    </row>
    <row r="465" spans="1:18" x14ac:dyDescent="0.15">
      <c r="A465" s="13">
        <v>464</v>
      </c>
      <c r="B465" s="13">
        <v>2821</v>
      </c>
      <c r="C465" s="16">
        <v>19</v>
      </c>
      <c r="D465" s="17" t="s">
        <v>1488</v>
      </c>
      <c r="E465" s="17" t="s">
        <v>895</v>
      </c>
      <c r="F465" s="12">
        <v>2794</v>
      </c>
      <c r="G465" s="12">
        <f>F465*1000000</f>
        <v>2794000000</v>
      </c>
      <c r="H465" s="12">
        <v>74</v>
      </c>
      <c r="I465" s="12">
        <f>H465*1000000</f>
        <v>74000000</v>
      </c>
      <c r="J465" s="17" t="s">
        <v>896</v>
      </c>
      <c r="K465" s="12">
        <v>71000000</v>
      </c>
      <c r="L465" s="4">
        <v>3500</v>
      </c>
      <c r="M465" s="4">
        <v>445</v>
      </c>
      <c r="N465" s="13">
        <v>1</v>
      </c>
      <c r="O465" s="18">
        <f>K465/G465</f>
        <v>2.5411596277738011E-2</v>
      </c>
      <c r="P465" s="19">
        <f>K465/I465</f>
        <v>0.95945945945945943</v>
      </c>
      <c r="Q465" s="13"/>
    </row>
    <row r="466" spans="1:18" x14ac:dyDescent="0.15">
      <c r="A466" s="28">
        <v>465</v>
      </c>
      <c r="B466" s="28">
        <v>2818</v>
      </c>
      <c r="C466" s="29">
        <v>12</v>
      </c>
      <c r="D466" s="30" t="s">
        <v>1481</v>
      </c>
      <c r="E466" s="30" t="s">
        <v>897</v>
      </c>
      <c r="F466" s="31">
        <v>953</v>
      </c>
      <c r="G466" s="31">
        <f>F466*1000000</f>
        <v>953000000</v>
      </c>
      <c r="H466" s="28" t="s">
        <v>63</v>
      </c>
      <c r="I466" s="31" t="e">
        <f>H466*1000000</f>
        <v>#VALUE!</v>
      </c>
      <c r="J466" s="30" t="s">
        <v>898</v>
      </c>
      <c r="K466" s="28" t="e">
        <v>#N/A</v>
      </c>
      <c r="L466" s="29">
        <v>5446</v>
      </c>
      <c r="M466" s="29">
        <v>82</v>
      </c>
      <c r="N466" s="28">
        <v>1</v>
      </c>
      <c r="O466" s="32" t="e">
        <f>K466/G466</f>
        <v>#N/A</v>
      </c>
      <c r="P466" s="33" t="e">
        <f>K466/I466</f>
        <v>#N/A</v>
      </c>
      <c r="Q466" s="28"/>
      <c r="R466" s="28" t="b">
        <v>1</v>
      </c>
    </row>
    <row r="467" spans="1:18" x14ac:dyDescent="0.15">
      <c r="A467" s="22">
        <v>466</v>
      </c>
      <c r="B467" s="22">
        <v>2814</v>
      </c>
      <c r="C467" s="23">
        <v>5</v>
      </c>
      <c r="D467" s="24" t="s">
        <v>1474</v>
      </c>
      <c r="E467" s="24" t="s">
        <v>899</v>
      </c>
      <c r="F467" s="25">
        <v>1000</v>
      </c>
      <c r="G467" s="25">
        <f>F467*1000000</f>
        <v>1000000000</v>
      </c>
      <c r="H467" s="22" t="s">
        <v>63</v>
      </c>
      <c r="I467" s="25" t="e">
        <f>H467*1000000</f>
        <v>#VALUE!</v>
      </c>
      <c r="J467" s="24" t="s">
        <v>88</v>
      </c>
      <c r="K467" s="25">
        <v>18764497</v>
      </c>
      <c r="L467" s="23">
        <v>5500</v>
      </c>
      <c r="M467" s="23">
        <v>85</v>
      </c>
      <c r="N467" s="22">
        <v>0</v>
      </c>
      <c r="O467" s="26">
        <f>K467/G467</f>
        <v>1.8764497000000002E-2</v>
      </c>
      <c r="P467" s="27" t="e">
        <f>K467/I467</f>
        <v>#VALUE!</v>
      </c>
      <c r="Q467" s="22" t="b">
        <v>1</v>
      </c>
    </row>
    <row r="468" spans="1:18" x14ac:dyDescent="0.15">
      <c r="A468" s="7">
        <v>467</v>
      </c>
      <c r="B468" s="7">
        <v>2813</v>
      </c>
      <c r="C468" s="8">
        <v>12</v>
      </c>
      <c r="D468" s="9" t="s">
        <v>1481</v>
      </c>
      <c r="E468" s="9" t="s">
        <v>900</v>
      </c>
      <c r="F468" s="10">
        <v>1223</v>
      </c>
      <c r="G468" s="10">
        <f>F468*1000000</f>
        <v>1223000000</v>
      </c>
      <c r="H468" s="10">
        <v>3</v>
      </c>
      <c r="I468" s="10">
        <f>H468*1000000</f>
        <v>3000000</v>
      </c>
      <c r="J468" s="9" t="s">
        <v>88</v>
      </c>
      <c r="K468" s="10">
        <v>22272259</v>
      </c>
      <c r="L468" s="8">
        <v>6610</v>
      </c>
      <c r="M468" s="8">
        <v>168</v>
      </c>
      <c r="N468" s="7">
        <v>0</v>
      </c>
      <c r="O468" s="14">
        <f>K468/G468</f>
        <v>1.8211168438266558E-2</v>
      </c>
      <c r="P468" s="15">
        <f>K468/I468</f>
        <v>7.4240863333333333</v>
      </c>
      <c r="Q468" s="7"/>
    </row>
    <row r="469" spans="1:18" x14ac:dyDescent="0.15">
      <c r="A469" s="22">
        <v>468</v>
      </c>
      <c r="B469" s="22">
        <v>2809</v>
      </c>
      <c r="C469" s="23">
        <v>12</v>
      </c>
      <c r="D469" s="24" t="s">
        <v>1481</v>
      </c>
      <c r="E469" s="24" t="s">
        <v>901</v>
      </c>
      <c r="F469" s="25">
        <v>889</v>
      </c>
      <c r="G469" s="25">
        <f>F469*1000000</f>
        <v>889000000</v>
      </c>
      <c r="H469" s="25">
        <v>47</v>
      </c>
      <c r="I469" s="25">
        <f>H469*1000000</f>
        <v>47000000</v>
      </c>
      <c r="J469" s="24" t="s">
        <v>902</v>
      </c>
      <c r="K469" s="25">
        <v>11223986</v>
      </c>
      <c r="L469" s="23">
        <v>6600</v>
      </c>
      <c r="M469" s="23">
        <v>76</v>
      </c>
      <c r="N469" s="22">
        <v>0</v>
      </c>
      <c r="O469" s="26">
        <f>K469/G469</f>
        <v>1.262540607424072E-2</v>
      </c>
      <c r="P469" s="27">
        <f>K469/I469</f>
        <v>0.23880821276595746</v>
      </c>
      <c r="Q469" s="22" t="b">
        <v>1</v>
      </c>
    </row>
    <row r="470" spans="1:18" x14ac:dyDescent="0.15">
      <c r="A470" s="13">
        <v>469</v>
      </c>
      <c r="B470" s="13">
        <v>2808</v>
      </c>
      <c r="C470" s="16">
        <v>4</v>
      </c>
      <c r="D470" s="17" t="s">
        <v>1473</v>
      </c>
      <c r="E470" s="17" t="s">
        <v>903</v>
      </c>
      <c r="F470" s="12">
        <v>2221</v>
      </c>
      <c r="G470" s="12">
        <f>F470*1000000</f>
        <v>2221000000</v>
      </c>
      <c r="H470" s="12">
        <v>16</v>
      </c>
      <c r="I470" s="12">
        <f>H470*1000000</f>
        <v>16000000</v>
      </c>
      <c r="J470" s="17" t="s">
        <v>904</v>
      </c>
      <c r="K470" s="12">
        <v>14000000</v>
      </c>
      <c r="L470" s="4">
        <v>2200</v>
      </c>
      <c r="M470" s="4">
        <v>120</v>
      </c>
      <c r="N470" s="13">
        <v>1</v>
      </c>
      <c r="O470" s="18">
        <f>K470/G470</f>
        <v>6.3034669067987392E-3</v>
      </c>
      <c r="P470" s="19">
        <f>K470/I470</f>
        <v>0.875</v>
      </c>
      <c r="Q470" s="13"/>
    </row>
    <row r="471" spans="1:18" x14ac:dyDescent="0.15">
      <c r="A471" s="13">
        <v>470</v>
      </c>
      <c r="B471" s="13">
        <v>2794</v>
      </c>
      <c r="C471" s="16">
        <v>8</v>
      </c>
      <c r="D471" s="17" t="s">
        <v>1477</v>
      </c>
      <c r="E471" s="17" t="s">
        <v>905</v>
      </c>
      <c r="F471" s="12">
        <v>3500</v>
      </c>
      <c r="G471" s="12">
        <f>F471*1000000</f>
        <v>3500000000</v>
      </c>
      <c r="H471" s="12">
        <v>315</v>
      </c>
      <c r="I471" s="12">
        <f>H471*1000000</f>
        <v>315000000</v>
      </c>
      <c r="J471" s="17" t="s">
        <v>906</v>
      </c>
      <c r="K471" s="12">
        <v>350000000</v>
      </c>
      <c r="L471" s="4">
        <v>1400</v>
      </c>
      <c r="M471" s="4">
        <v>1400</v>
      </c>
      <c r="N471" s="13">
        <v>1</v>
      </c>
      <c r="O471" s="18">
        <f>K471/G471</f>
        <v>0.1</v>
      </c>
      <c r="P471" s="19">
        <f>K471/I471</f>
        <v>1.1111111111111112</v>
      </c>
      <c r="Q471" s="13"/>
    </row>
    <row r="472" spans="1:18" x14ac:dyDescent="0.15">
      <c r="A472" s="28">
        <v>471</v>
      </c>
      <c r="B472" s="28">
        <v>2771</v>
      </c>
      <c r="C472" s="29">
        <v>9</v>
      </c>
      <c r="D472" s="30" t="s">
        <v>1478</v>
      </c>
      <c r="E472" s="30" t="s">
        <v>907</v>
      </c>
      <c r="F472" s="28" t="s">
        <v>248</v>
      </c>
      <c r="G472" s="31" t="e">
        <f>F472*1000000</f>
        <v>#VALUE!</v>
      </c>
      <c r="H472" s="28" t="s">
        <v>63</v>
      </c>
      <c r="I472" s="31" t="e">
        <f>H472*1000000</f>
        <v>#VALUE!</v>
      </c>
      <c r="J472" s="30" t="s">
        <v>908</v>
      </c>
      <c r="K472" s="28" t="e">
        <v>#N/A</v>
      </c>
      <c r="L472" s="29">
        <v>12000</v>
      </c>
      <c r="M472" s="29" t="s">
        <v>63</v>
      </c>
      <c r="N472" s="28">
        <v>1</v>
      </c>
      <c r="O472" s="32" t="e">
        <f>K472/G472</f>
        <v>#N/A</v>
      </c>
      <c r="P472" s="33" t="e">
        <f>K472/I472</f>
        <v>#N/A</v>
      </c>
      <c r="Q472" s="28"/>
      <c r="R472" s="28" t="b">
        <v>1</v>
      </c>
    </row>
    <row r="473" spans="1:18" x14ac:dyDescent="0.15">
      <c r="A473" s="13">
        <v>472</v>
      </c>
      <c r="B473" s="13">
        <v>2769</v>
      </c>
      <c r="C473" s="16">
        <v>11</v>
      </c>
      <c r="D473" s="17" t="s">
        <v>1480</v>
      </c>
      <c r="E473" s="17" t="s">
        <v>909</v>
      </c>
      <c r="F473" s="12">
        <v>3221</v>
      </c>
      <c r="G473" s="12">
        <f>F473*1000000</f>
        <v>3221000000</v>
      </c>
      <c r="H473" s="12">
        <v>232</v>
      </c>
      <c r="I473" s="12">
        <f>H473*1000000</f>
        <v>232000000</v>
      </c>
      <c r="J473" s="17" t="s">
        <v>910</v>
      </c>
      <c r="K473" s="12">
        <v>100000000</v>
      </c>
      <c r="L473" s="4">
        <v>6500</v>
      </c>
      <c r="M473" s="4">
        <v>565</v>
      </c>
      <c r="N473" s="13">
        <v>1</v>
      </c>
      <c r="O473" s="18">
        <f>K473/G473</f>
        <v>3.1046258925799441E-2</v>
      </c>
      <c r="P473" s="19">
        <f>K473/I473</f>
        <v>0.43103448275862066</v>
      </c>
      <c r="Q473" s="13"/>
    </row>
    <row r="474" spans="1:18" x14ac:dyDescent="0.15">
      <c r="A474" s="22">
        <v>473</v>
      </c>
      <c r="B474" s="22">
        <v>2764</v>
      </c>
      <c r="C474" s="23">
        <v>2</v>
      </c>
      <c r="D474" s="24" t="s">
        <v>1471</v>
      </c>
      <c r="E474" s="24" t="s">
        <v>911</v>
      </c>
      <c r="F474" s="25">
        <v>1936</v>
      </c>
      <c r="G474" s="25">
        <f>F474*1000000</f>
        <v>1936000000</v>
      </c>
      <c r="H474" s="25">
        <v>151</v>
      </c>
      <c r="I474" s="25">
        <f>H474*1000000</f>
        <v>151000000</v>
      </c>
      <c r="J474" s="24" t="s">
        <v>912</v>
      </c>
      <c r="K474" s="25">
        <v>94629426</v>
      </c>
      <c r="L474" s="23">
        <v>13000</v>
      </c>
      <c r="M474" s="23">
        <v>9593</v>
      </c>
      <c r="N474" s="22">
        <v>0</v>
      </c>
      <c r="O474" s="26">
        <f>K474/G474</f>
        <v>4.8878835743801655E-2</v>
      </c>
      <c r="P474" s="27">
        <f>K474/I474</f>
        <v>0.62668494039735101</v>
      </c>
      <c r="Q474" s="22" t="b">
        <v>1</v>
      </c>
    </row>
    <row r="475" spans="1:18" x14ac:dyDescent="0.15">
      <c r="A475" s="22">
        <v>474</v>
      </c>
      <c r="B475" s="22">
        <v>2746</v>
      </c>
      <c r="C475" s="23">
        <v>1</v>
      </c>
      <c r="D475" s="24" t="s">
        <v>1470</v>
      </c>
      <c r="E475" s="24" t="s">
        <v>913</v>
      </c>
      <c r="F475" s="25">
        <v>3058</v>
      </c>
      <c r="G475" s="25">
        <f>F475*1000000</f>
        <v>3058000000</v>
      </c>
      <c r="H475" s="25">
        <v>223</v>
      </c>
      <c r="I475" s="25">
        <f>H475*1000000</f>
        <v>223000000</v>
      </c>
      <c r="J475" s="24" t="s">
        <v>88</v>
      </c>
      <c r="K475" s="25">
        <v>55689752</v>
      </c>
      <c r="L475" s="23">
        <v>30500</v>
      </c>
      <c r="M475" s="23">
        <v>420</v>
      </c>
      <c r="N475" s="22">
        <v>0</v>
      </c>
      <c r="O475" s="26">
        <f>K475/G475</f>
        <v>1.8211168083714847E-2</v>
      </c>
      <c r="P475" s="27">
        <f>K475/I475</f>
        <v>0.24972982959641254</v>
      </c>
      <c r="Q475" s="22" t="b">
        <v>1</v>
      </c>
    </row>
    <row r="476" spans="1:18" x14ac:dyDescent="0.15">
      <c r="A476" s="13">
        <v>475</v>
      </c>
      <c r="B476" s="13">
        <v>2739</v>
      </c>
      <c r="C476" s="16">
        <v>12</v>
      </c>
      <c r="D476" s="17" t="s">
        <v>1481</v>
      </c>
      <c r="E476" s="17" t="s">
        <v>914</v>
      </c>
      <c r="F476" s="12">
        <v>1577</v>
      </c>
      <c r="G476" s="12">
        <f>F476*1000000</f>
        <v>1577000000</v>
      </c>
      <c r="H476" s="12">
        <v>90</v>
      </c>
      <c r="I476" s="12">
        <f>H476*1000000</f>
        <v>90000000</v>
      </c>
      <c r="J476" s="17" t="s">
        <v>915</v>
      </c>
      <c r="K476" s="12">
        <v>650000</v>
      </c>
      <c r="L476" s="4">
        <v>10000</v>
      </c>
      <c r="M476" s="4">
        <v>4</v>
      </c>
      <c r="N476" s="13">
        <v>1</v>
      </c>
      <c r="O476" s="18">
        <f>K476/G476</f>
        <v>4.1217501585288522E-4</v>
      </c>
      <c r="P476" s="19">
        <f>K476/I476</f>
        <v>7.2222222222222219E-3</v>
      </c>
      <c r="Q476" s="13"/>
    </row>
    <row r="477" spans="1:18" x14ac:dyDescent="0.15">
      <c r="A477" s="22">
        <v>476</v>
      </c>
      <c r="B477" s="22">
        <v>2733</v>
      </c>
      <c r="C477" s="23">
        <v>7</v>
      </c>
      <c r="D477" s="24" t="s">
        <v>1476</v>
      </c>
      <c r="E477" s="24" t="s">
        <v>916</v>
      </c>
      <c r="F477" s="25">
        <v>3353</v>
      </c>
      <c r="G477" s="25">
        <f>F477*1000000</f>
        <v>3353000000</v>
      </c>
      <c r="H477" s="25">
        <v>90</v>
      </c>
      <c r="I477" s="25">
        <f>H477*1000000</f>
        <v>90000000</v>
      </c>
      <c r="J477" s="24" t="s">
        <v>917</v>
      </c>
      <c r="K477" s="25">
        <v>31280619</v>
      </c>
      <c r="L477" s="23">
        <v>5812</v>
      </c>
      <c r="M477" s="23">
        <v>183</v>
      </c>
      <c r="N477" s="22">
        <v>0</v>
      </c>
      <c r="O477" s="26">
        <f>K477/G477</f>
        <v>9.3291437518640032E-3</v>
      </c>
      <c r="P477" s="27">
        <f>K477/I477</f>
        <v>0.34756243333333331</v>
      </c>
      <c r="Q477" s="22" t="b">
        <v>1</v>
      </c>
    </row>
    <row r="478" spans="1:18" x14ac:dyDescent="0.15">
      <c r="A478" s="13">
        <v>477</v>
      </c>
      <c r="B478" s="13">
        <v>2732</v>
      </c>
      <c r="C478" s="16">
        <v>20</v>
      </c>
      <c r="D478" s="17" t="s">
        <v>1489</v>
      </c>
      <c r="E478" s="17" t="s">
        <v>918</v>
      </c>
      <c r="F478" s="12">
        <v>3643</v>
      </c>
      <c r="G478" s="12">
        <f>F478*1000000</f>
        <v>3643000000</v>
      </c>
      <c r="H478" s="12">
        <v>330</v>
      </c>
      <c r="I478" s="12">
        <f>H478*1000000</f>
        <v>330000000</v>
      </c>
      <c r="J478" s="17" t="s">
        <v>919</v>
      </c>
      <c r="K478" s="12">
        <v>78000000</v>
      </c>
      <c r="L478" s="4">
        <v>9200</v>
      </c>
      <c r="M478" s="4">
        <v>450</v>
      </c>
      <c r="N478" s="13">
        <v>1</v>
      </c>
      <c r="O478" s="18">
        <f>K478/G478</f>
        <v>2.1410925061762284E-2</v>
      </c>
      <c r="P478" s="19">
        <f>K478/I478</f>
        <v>0.23636363636363636</v>
      </c>
      <c r="Q478" s="13"/>
    </row>
    <row r="479" spans="1:18" x14ac:dyDescent="0.15">
      <c r="A479" s="22">
        <v>478</v>
      </c>
      <c r="B479" s="22">
        <v>2719</v>
      </c>
      <c r="C479" s="23">
        <v>7</v>
      </c>
      <c r="D479" s="24" t="s">
        <v>1476</v>
      </c>
      <c r="E479" s="24" t="s">
        <v>920</v>
      </c>
      <c r="F479" s="25">
        <v>2833</v>
      </c>
      <c r="G479" s="25">
        <f>F479*1000000</f>
        <v>2833000000</v>
      </c>
      <c r="H479" s="25">
        <v>246</v>
      </c>
      <c r="I479" s="25">
        <f>H479*1000000</f>
        <v>246000000</v>
      </c>
      <c r="J479" s="24" t="s">
        <v>921</v>
      </c>
      <c r="K479" s="25">
        <v>26429464</v>
      </c>
      <c r="L479" s="23">
        <v>10114</v>
      </c>
      <c r="M479" s="23">
        <v>155</v>
      </c>
      <c r="N479" s="22">
        <v>0</v>
      </c>
      <c r="O479" s="26">
        <f>K479/G479</f>
        <v>9.3291436639604663E-3</v>
      </c>
      <c r="P479" s="27">
        <f>K479/I479</f>
        <v>0.10743684552845528</v>
      </c>
      <c r="Q479" s="22" t="b">
        <v>1</v>
      </c>
    </row>
    <row r="480" spans="1:18" x14ac:dyDescent="0.15">
      <c r="A480" s="22">
        <v>479</v>
      </c>
      <c r="B480" s="22">
        <v>2699</v>
      </c>
      <c r="C480" s="23">
        <v>4</v>
      </c>
      <c r="D480" s="24" t="s">
        <v>1473</v>
      </c>
      <c r="E480" s="24" t="s">
        <v>922</v>
      </c>
      <c r="F480" s="25">
        <v>4649</v>
      </c>
      <c r="G480" s="25">
        <f>F480*1000000</f>
        <v>4649000000</v>
      </c>
      <c r="H480" s="25">
        <v>1146</v>
      </c>
      <c r="I480" s="25">
        <f>H480*1000000</f>
        <v>1146000000</v>
      </c>
      <c r="J480" s="24" t="s">
        <v>923</v>
      </c>
      <c r="K480" s="25">
        <v>112935863</v>
      </c>
      <c r="L480" s="23">
        <v>15257</v>
      </c>
      <c r="M480" s="23">
        <v>543</v>
      </c>
      <c r="N480" s="22">
        <v>0</v>
      </c>
      <c r="O480" s="26">
        <f>K480/G480</f>
        <v>2.4292506560550656E-2</v>
      </c>
      <c r="P480" s="27">
        <f>K480/I480</f>
        <v>9.8547873472949396E-2</v>
      </c>
      <c r="Q480" s="22" t="b">
        <v>1</v>
      </c>
    </row>
    <row r="481" spans="1:17" x14ac:dyDescent="0.15">
      <c r="A481" s="22">
        <v>480</v>
      </c>
      <c r="B481" s="22">
        <v>2695</v>
      </c>
      <c r="C481" s="23">
        <v>10</v>
      </c>
      <c r="D481" s="24" t="s">
        <v>1479</v>
      </c>
      <c r="E481" s="24" t="s">
        <v>924</v>
      </c>
      <c r="F481" s="25">
        <v>1742</v>
      </c>
      <c r="G481" s="25">
        <f>F481*1000000</f>
        <v>1742000000</v>
      </c>
      <c r="H481" s="25">
        <v>294</v>
      </c>
      <c r="I481" s="25">
        <f>H481*1000000</f>
        <v>294000000</v>
      </c>
      <c r="J481" s="24" t="s">
        <v>88</v>
      </c>
      <c r="K481" s="25">
        <v>35725701</v>
      </c>
      <c r="L481" s="23">
        <v>8709</v>
      </c>
      <c r="M481" s="23">
        <v>54</v>
      </c>
      <c r="N481" s="22">
        <v>0</v>
      </c>
      <c r="O481" s="26">
        <f>K481/G481</f>
        <v>2.0508439150401837E-2</v>
      </c>
      <c r="P481" s="27">
        <f>K481/I481</f>
        <v>0.12151598979591836</v>
      </c>
      <c r="Q481" s="22" t="b">
        <v>1</v>
      </c>
    </row>
    <row r="482" spans="1:17" x14ac:dyDescent="0.15">
      <c r="A482" s="13">
        <v>481</v>
      </c>
      <c r="B482" s="13">
        <v>2678</v>
      </c>
      <c r="C482" s="16">
        <v>13</v>
      </c>
      <c r="D482" s="17" t="s">
        <v>1482</v>
      </c>
      <c r="E482" s="17" t="s">
        <v>925</v>
      </c>
      <c r="F482" s="12">
        <v>811</v>
      </c>
      <c r="G482" s="12">
        <f>F482*1000000</f>
        <v>811000000</v>
      </c>
      <c r="H482" s="12">
        <v>47</v>
      </c>
      <c r="I482" s="12">
        <f>H482*1000000</f>
        <v>47000000</v>
      </c>
      <c r="J482" s="17" t="s">
        <v>926</v>
      </c>
      <c r="K482" s="12">
        <v>3000000</v>
      </c>
      <c r="L482" s="4">
        <v>5000</v>
      </c>
      <c r="M482" s="4">
        <v>25</v>
      </c>
      <c r="N482" s="13">
        <v>1</v>
      </c>
      <c r="O482" s="18">
        <f>K482/G482</f>
        <v>3.6991368680641184E-3</v>
      </c>
      <c r="P482" s="19">
        <f>K482/I482</f>
        <v>6.3829787234042548E-2</v>
      </c>
      <c r="Q482" s="13"/>
    </row>
    <row r="483" spans="1:17" x14ac:dyDescent="0.15">
      <c r="A483" s="22">
        <v>482</v>
      </c>
      <c r="B483" s="22">
        <v>2677</v>
      </c>
      <c r="C483" s="23">
        <v>9</v>
      </c>
      <c r="D483" s="24" t="s">
        <v>1478</v>
      </c>
      <c r="E483" s="24" t="s">
        <v>927</v>
      </c>
      <c r="F483" s="25">
        <v>2295</v>
      </c>
      <c r="G483" s="25">
        <f>F483*1000000</f>
        <v>2295000000</v>
      </c>
      <c r="H483" s="25">
        <v>28</v>
      </c>
      <c r="I483" s="25">
        <f>H483*1000000</f>
        <v>28000000</v>
      </c>
      <c r="J483" s="24" t="s">
        <v>928</v>
      </c>
      <c r="K483" s="25">
        <v>27278412</v>
      </c>
      <c r="L483" s="23">
        <v>8390</v>
      </c>
      <c r="M483" s="23">
        <v>218</v>
      </c>
      <c r="N483" s="22">
        <v>0</v>
      </c>
      <c r="O483" s="26">
        <f>K483/G483</f>
        <v>1.1886018300653594E-2</v>
      </c>
      <c r="P483" s="27">
        <f>K483/I483</f>
        <v>0.97422900000000001</v>
      </c>
      <c r="Q483" s="22" t="b">
        <v>1</v>
      </c>
    </row>
    <row r="484" spans="1:17" x14ac:dyDescent="0.15">
      <c r="A484" s="13">
        <v>483</v>
      </c>
      <c r="B484" s="13">
        <v>2672</v>
      </c>
      <c r="C484" s="16">
        <v>20</v>
      </c>
      <c r="D484" s="17" t="s">
        <v>1489</v>
      </c>
      <c r="E484" s="17" t="s">
        <v>929</v>
      </c>
      <c r="F484" s="12">
        <v>3519</v>
      </c>
      <c r="G484" s="12">
        <f>F484*1000000</f>
        <v>3519000000</v>
      </c>
      <c r="H484" s="12">
        <v>420</v>
      </c>
      <c r="I484" s="12">
        <f>H484*1000000</f>
        <v>420000000</v>
      </c>
      <c r="J484" s="17" t="s">
        <v>930</v>
      </c>
      <c r="K484" s="12">
        <v>90000000</v>
      </c>
      <c r="L484" s="4">
        <v>9000</v>
      </c>
      <c r="M484" s="4">
        <v>300</v>
      </c>
      <c r="N484" s="13">
        <v>1</v>
      </c>
      <c r="O484" s="18">
        <f>K484/G484</f>
        <v>2.557544757033248E-2</v>
      </c>
      <c r="P484" s="19">
        <f>K484/I484</f>
        <v>0.21428571428571427</v>
      </c>
      <c r="Q484" s="13"/>
    </row>
    <row r="485" spans="1:17" x14ac:dyDescent="0.15">
      <c r="A485" s="22">
        <v>484</v>
      </c>
      <c r="B485" s="22">
        <v>2669</v>
      </c>
      <c r="C485" s="23">
        <v>13</v>
      </c>
      <c r="D485" s="24" t="s">
        <v>1482</v>
      </c>
      <c r="E485" s="24" t="s">
        <v>931</v>
      </c>
      <c r="F485" s="25">
        <v>1614</v>
      </c>
      <c r="G485" s="25">
        <f>F485*1000000</f>
        <v>1614000000</v>
      </c>
      <c r="H485" s="25">
        <v>170</v>
      </c>
      <c r="I485" s="25">
        <f>H485*1000000</f>
        <v>170000000</v>
      </c>
      <c r="J485" s="24" t="s">
        <v>932</v>
      </c>
      <c r="K485" s="25">
        <v>22229771</v>
      </c>
      <c r="L485" s="23">
        <v>6600</v>
      </c>
      <c r="M485" s="23">
        <v>126</v>
      </c>
      <c r="N485" s="22">
        <v>0</v>
      </c>
      <c r="O485" s="26">
        <f>K485/G485</f>
        <v>1.3773092317224287E-2</v>
      </c>
      <c r="P485" s="27">
        <f>K485/I485</f>
        <v>0.13076335882352941</v>
      </c>
      <c r="Q485" s="22" t="b">
        <v>1</v>
      </c>
    </row>
    <row r="486" spans="1:17" x14ac:dyDescent="0.15">
      <c r="A486" s="13">
        <v>485</v>
      </c>
      <c r="B486" s="13">
        <v>2668</v>
      </c>
      <c r="C486" s="16">
        <v>16</v>
      </c>
      <c r="D486" s="17" t="s">
        <v>1485</v>
      </c>
      <c r="E486" s="17" t="s">
        <v>933</v>
      </c>
      <c r="F486" s="12">
        <v>804</v>
      </c>
      <c r="G486" s="12">
        <f>F486*1000000</f>
        <v>804000000</v>
      </c>
      <c r="H486" s="13" t="s">
        <v>63</v>
      </c>
      <c r="I486" s="12" t="e">
        <f>H486*1000000</f>
        <v>#VALUE!</v>
      </c>
      <c r="J486" s="17" t="s">
        <v>934</v>
      </c>
      <c r="K486" s="12">
        <v>37000000</v>
      </c>
      <c r="L486" s="4">
        <v>6000</v>
      </c>
      <c r="M486" s="4">
        <v>116</v>
      </c>
      <c r="N486" s="13">
        <v>1</v>
      </c>
      <c r="O486" s="18">
        <f>K486/G486</f>
        <v>4.6019900497512436E-2</v>
      </c>
      <c r="P486" s="19" t="e">
        <f>K486/I486</f>
        <v>#VALUE!</v>
      </c>
      <c r="Q486" s="13"/>
    </row>
    <row r="487" spans="1:17" x14ac:dyDescent="0.15">
      <c r="A487" s="22">
        <v>486</v>
      </c>
      <c r="B487" s="22">
        <v>2659</v>
      </c>
      <c r="C487" s="23">
        <v>3</v>
      </c>
      <c r="D487" s="24" t="s">
        <v>1472</v>
      </c>
      <c r="E487" s="24" t="s">
        <v>935</v>
      </c>
      <c r="F487" s="25">
        <v>2225</v>
      </c>
      <c r="G487" s="25">
        <f>F487*1000000</f>
        <v>2225000000</v>
      </c>
      <c r="H487" s="25">
        <v>107</v>
      </c>
      <c r="I487" s="25">
        <f>H487*1000000</f>
        <v>107000000</v>
      </c>
      <c r="J487" s="24" t="s">
        <v>936</v>
      </c>
      <c r="K487" s="25">
        <v>37405935</v>
      </c>
      <c r="L487" s="23">
        <v>8161</v>
      </c>
      <c r="M487" s="23">
        <v>81</v>
      </c>
      <c r="N487" s="22">
        <v>0</v>
      </c>
      <c r="O487" s="26">
        <f>K487/G487</f>
        <v>1.6811656179775279E-2</v>
      </c>
      <c r="P487" s="27">
        <f>K487/I487</f>
        <v>0.34958817757009347</v>
      </c>
      <c r="Q487" s="22" t="b">
        <v>1</v>
      </c>
    </row>
    <row r="488" spans="1:17" x14ac:dyDescent="0.15">
      <c r="A488" s="22">
        <v>487</v>
      </c>
      <c r="B488" s="22">
        <v>2650</v>
      </c>
      <c r="C488" s="23">
        <v>13</v>
      </c>
      <c r="D488" s="24" t="s">
        <v>1482</v>
      </c>
      <c r="E488" s="24" t="s">
        <v>937</v>
      </c>
      <c r="F488" s="25">
        <v>561</v>
      </c>
      <c r="G488" s="25">
        <f>F488*1000000</f>
        <v>561000000</v>
      </c>
      <c r="H488" s="22" t="s">
        <v>63</v>
      </c>
      <c r="I488" s="25" t="e">
        <f>H488*1000000</f>
        <v>#VALUE!</v>
      </c>
      <c r="J488" s="24" t="s">
        <v>938</v>
      </c>
      <c r="K488" s="25">
        <v>7726705</v>
      </c>
      <c r="L488" s="23">
        <v>5200</v>
      </c>
      <c r="M488" s="23">
        <v>44</v>
      </c>
      <c r="N488" s="22">
        <v>0</v>
      </c>
      <c r="O488" s="26">
        <f>K488/G488</f>
        <v>1.3773092691622104E-2</v>
      </c>
      <c r="P488" s="27" t="e">
        <f>K488/I488</f>
        <v>#VALUE!</v>
      </c>
      <c r="Q488" s="22" t="b">
        <v>1</v>
      </c>
    </row>
    <row r="489" spans="1:17" x14ac:dyDescent="0.15">
      <c r="A489" s="7">
        <v>488</v>
      </c>
      <c r="B489" s="7">
        <v>2638</v>
      </c>
      <c r="C489" s="8">
        <v>17</v>
      </c>
      <c r="D489" s="9" t="s">
        <v>1486</v>
      </c>
      <c r="E489" s="9" t="s">
        <v>939</v>
      </c>
      <c r="F489" s="10">
        <v>8293</v>
      </c>
      <c r="G489" s="10">
        <f>F489*1000000</f>
        <v>8293000000</v>
      </c>
      <c r="H489" s="10">
        <v>47</v>
      </c>
      <c r="I489" s="10">
        <f>H489*1000000</f>
        <v>47000000</v>
      </c>
      <c r="J489" s="9" t="s">
        <v>940</v>
      </c>
      <c r="K489" s="10">
        <v>77537062</v>
      </c>
      <c r="L489" s="8">
        <v>119000</v>
      </c>
      <c r="M489" s="8">
        <v>603</v>
      </c>
      <c r="N489" s="7">
        <v>0</v>
      </c>
      <c r="O489" s="14">
        <f>K489/G489</f>
        <v>9.3496999879416377E-3</v>
      </c>
      <c r="P489" s="15">
        <f>K489/I489</f>
        <v>1.6497247234042554</v>
      </c>
      <c r="Q489" s="7"/>
    </row>
    <row r="490" spans="1:17" x14ac:dyDescent="0.15">
      <c r="A490" s="13">
        <v>489</v>
      </c>
      <c r="B490" s="13">
        <v>2627</v>
      </c>
      <c r="C490" s="16">
        <v>2</v>
      </c>
      <c r="D490" s="17" t="s">
        <v>1471</v>
      </c>
      <c r="E490" s="17" t="s">
        <v>941</v>
      </c>
      <c r="F490" s="12">
        <v>7503</v>
      </c>
      <c r="G490" s="12">
        <f>F490*1000000</f>
        <v>7503000000</v>
      </c>
      <c r="H490" s="12">
        <v>615</v>
      </c>
      <c r="I490" s="12">
        <f>H490*1000000</f>
        <v>615000000</v>
      </c>
      <c r="J490" s="17" t="s">
        <v>942</v>
      </c>
      <c r="K490" s="12">
        <v>547000000</v>
      </c>
      <c r="L490" s="4">
        <v>13787</v>
      </c>
      <c r="M490" s="4">
        <v>2080</v>
      </c>
      <c r="N490" s="13">
        <v>1</v>
      </c>
      <c r="O490" s="18">
        <f>K490/G490</f>
        <v>7.2904171664667464E-2</v>
      </c>
      <c r="P490" s="19">
        <f>K490/I490</f>
        <v>0.88943089430894307</v>
      </c>
      <c r="Q490" s="13"/>
    </row>
    <row r="491" spans="1:17" x14ac:dyDescent="0.15">
      <c r="A491" s="13">
        <v>490</v>
      </c>
      <c r="B491" s="13">
        <v>2623</v>
      </c>
      <c r="C491" s="16">
        <v>8</v>
      </c>
      <c r="D491" s="17" t="s">
        <v>1477</v>
      </c>
      <c r="E491" s="17" t="s">
        <v>943</v>
      </c>
      <c r="F491" s="12">
        <v>11915</v>
      </c>
      <c r="G491" s="12">
        <f>F491*1000000</f>
        <v>11915000000</v>
      </c>
      <c r="H491" s="12">
        <v>1215</v>
      </c>
      <c r="I491" s="12">
        <f>H491*1000000</f>
        <v>1215000000</v>
      </c>
      <c r="J491" s="17" t="s">
        <v>944</v>
      </c>
      <c r="K491" s="12">
        <v>680000000</v>
      </c>
      <c r="L491" s="4">
        <v>18000</v>
      </c>
      <c r="M491" s="4">
        <v>3200</v>
      </c>
      <c r="N491" s="13">
        <v>1</v>
      </c>
      <c r="O491" s="18">
        <f>K491/G491</f>
        <v>5.7070919009651701E-2</v>
      </c>
      <c r="P491" s="19">
        <f>K491/I491</f>
        <v>0.55967078189300412</v>
      </c>
      <c r="Q491" s="13"/>
    </row>
    <row r="492" spans="1:17" x14ac:dyDescent="0.15">
      <c r="A492" s="22">
        <v>491</v>
      </c>
      <c r="B492" s="22">
        <v>2621</v>
      </c>
      <c r="C492" s="23">
        <v>8</v>
      </c>
      <c r="D492" s="24" t="s">
        <v>1477</v>
      </c>
      <c r="E492" s="24" t="s">
        <v>945</v>
      </c>
      <c r="F492" s="25">
        <v>3441</v>
      </c>
      <c r="G492" s="25">
        <f>F492*1000000</f>
        <v>3441000000</v>
      </c>
      <c r="H492" s="25">
        <v>387</v>
      </c>
      <c r="I492" s="25">
        <f>H492*1000000</f>
        <v>387000000</v>
      </c>
      <c r="J492" s="24" t="s">
        <v>946</v>
      </c>
      <c r="K492" s="25">
        <v>226941860</v>
      </c>
      <c r="L492" s="23">
        <v>7417</v>
      </c>
      <c r="M492" s="23">
        <v>763</v>
      </c>
      <c r="N492" s="22">
        <v>0</v>
      </c>
      <c r="O492" s="26">
        <f>K492/G492</f>
        <v>6.5952298750363264E-2</v>
      </c>
      <c r="P492" s="27">
        <f>K492/I492</f>
        <v>0.58641307493540051</v>
      </c>
      <c r="Q492" s="22" t="b">
        <v>1</v>
      </c>
    </row>
    <row r="493" spans="1:17" x14ac:dyDescent="0.15">
      <c r="A493" s="22">
        <v>492</v>
      </c>
      <c r="B493" s="22">
        <v>2620</v>
      </c>
      <c r="C493" s="23">
        <v>14</v>
      </c>
      <c r="D493" s="24" t="s">
        <v>1483</v>
      </c>
      <c r="E493" s="24" t="s">
        <v>947</v>
      </c>
      <c r="F493" s="25">
        <v>2788</v>
      </c>
      <c r="G493" s="25">
        <f>F493*1000000</f>
        <v>2788000000</v>
      </c>
      <c r="H493" s="25">
        <v>166</v>
      </c>
      <c r="I493" s="25">
        <f>H493*1000000</f>
        <v>166000000</v>
      </c>
      <c r="J493" s="24" t="s">
        <v>948</v>
      </c>
      <c r="K493" s="25">
        <v>22673457</v>
      </c>
      <c r="L493" s="23">
        <v>10750</v>
      </c>
      <c r="M493" s="23">
        <v>156</v>
      </c>
      <c r="N493" s="22">
        <v>0</v>
      </c>
      <c r="O493" s="26">
        <f>K493/G493</f>
        <v>8.1325168579626968E-3</v>
      </c>
      <c r="P493" s="27">
        <f>K493/I493</f>
        <v>0.13658709036144578</v>
      </c>
      <c r="Q493" s="22" t="b">
        <v>1</v>
      </c>
    </row>
    <row r="494" spans="1:17" x14ac:dyDescent="0.15">
      <c r="A494" s="13">
        <v>493</v>
      </c>
      <c r="B494" s="13">
        <v>2605</v>
      </c>
      <c r="C494" s="16">
        <v>9</v>
      </c>
      <c r="D494" s="17" t="s">
        <v>1478</v>
      </c>
      <c r="E494" s="17" t="s">
        <v>949</v>
      </c>
      <c r="F494" s="12">
        <v>15000</v>
      </c>
      <c r="G494" s="12">
        <f>F494*1000000</f>
        <v>15000000000</v>
      </c>
      <c r="H494" s="13" t="s">
        <v>63</v>
      </c>
      <c r="I494" s="12" t="e">
        <f>H494*1000000</f>
        <v>#VALUE!</v>
      </c>
      <c r="J494" s="17" t="s">
        <v>950</v>
      </c>
      <c r="K494" s="12">
        <v>13500000</v>
      </c>
      <c r="L494" s="4">
        <v>15000</v>
      </c>
      <c r="M494" s="4">
        <v>225</v>
      </c>
      <c r="N494" s="13">
        <v>1</v>
      </c>
      <c r="O494" s="18">
        <f>K494/G494</f>
        <v>8.9999999999999998E-4</v>
      </c>
      <c r="P494" s="19" t="e">
        <f>K494/I494</f>
        <v>#VALUE!</v>
      </c>
      <c r="Q494" s="13"/>
    </row>
    <row r="495" spans="1:17" x14ac:dyDescent="0.15">
      <c r="A495" s="13">
        <v>494</v>
      </c>
      <c r="B495" s="13">
        <v>2601</v>
      </c>
      <c r="C495" s="16">
        <v>5</v>
      </c>
      <c r="D495" s="17" t="s">
        <v>1474</v>
      </c>
      <c r="E495" s="17" t="s">
        <v>951</v>
      </c>
      <c r="F495" s="12">
        <v>1174</v>
      </c>
      <c r="G495" s="12">
        <f>F495*1000000</f>
        <v>1174000000</v>
      </c>
      <c r="H495" s="12">
        <v>98</v>
      </c>
      <c r="I495" s="12">
        <f>H495*1000000</f>
        <v>98000000</v>
      </c>
      <c r="J495" s="17" t="s">
        <v>952</v>
      </c>
      <c r="K495" s="12">
        <v>10000000</v>
      </c>
      <c r="L495" s="4">
        <v>2000</v>
      </c>
      <c r="M495" s="4">
        <v>75</v>
      </c>
      <c r="N495" s="13">
        <v>1</v>
      </c>
      <c r="O495" s="18">
        <f>K495/G495</f>
        <v>8.5178875638841564E-3</v>
      </c>
      <c r="P495" s="19">
        <f>K495/I495</f>
        <v>0.10204081632653061</v>
      </c>
      <c r="Q495" s="13"/>
    </row>
    <row r="496" spans="1:17" x14ac:dyDescent="0.15">
      <c r="A496" s="22">
        <v>495</v>
      </c>
      <c r="B496" s="22">
        <v>2587</v>
      </c>
      <c r="C496" s="23">
        <v>13</v>
      </c>
      <c r="D496" s="24" t="s">
        <v>1482</v>
      </c>
      <c r="E496" s="24" t="s">
        <v>953</v>
      </c>
      <c r="F496" s="25">
        <v>575</v>
      </c>
      <c r="G496" s="25">
        <f>F496*1000000</f>
        <v>575000000</v>
      </c>
      <c r="H496" s="22" t="s">
        <v>63</v>
      </c>
      <c r="I496" s="25" t="e">
        <f>H496*1000000</f>
        <v>#VALUE!</v>
      </c>
      <c r="J496" s="24" t="s">
        <v>954</v>
      </c>
      <c r="K496" s="25">
        <v>7919528</v>
      </c>
      <c r="L496" s="23">
        <v>7950</v>
      </c>
      <c r="M496" s="23">
        <v>45</v>
      </c>
      <c r="N496" s="22">
        <v>0</v>
      </c>
      <c r="O496" s="26">
        <f>K496/G496</f>
        <v>1.3773092173913043E-2</v>
      </c>
      <c r="P496" s="27" t="e">
        <f>K496/I496</f>
        <v>#VALUE!</v>
      </c>
      <c r="Q496" s="22" t="b">
        <v>1</v>
      </c>
    </row>
    <row r="497" spans="1:17" x14ac:dyDescent="0.15">
      <c r="A497" s="22">
        <v>496</v>
      </c>
      <c r="B497" s="22">
        <v>2582</v>
      </c>
      <c r="C497" s="23">
        <v>8</v>
      </c>
      <c r="D497" s="24" t="s">
        <v>1477</v>
      </c>
      <c r="E497" s="24" t="s">
        <v>955</v>
      </c>
      <c r="F497" s="25">
        <v>1756</v>
      </c>
      <c r="G497" s="25">
        <f>F497*1000000</f>
        <v>1756000000</v>
      </c>
      <c r="H497" s="25">
        <v>22</v>
      </c>
      <c r="I497" s="25">
        <f>H497*1000000</f>
        <v>22000000</v>
      </c>
      <c r="J497" s="24" t="s">
        <v>956</v>
      </c>
      <c r="K497" s="25">
        <v>115812237</v>
      </c>
      <c r="L497" s="23">
        <v>2700</v>
      </c>
      <c r="M497" s="23">
        <v>371</v>
      </c>
      <c r="N497" s="22">
        <v>0</v>
      </c>
      <c r="O497" s="26">
        <f>K497/G497</f>
        <v>6.5952298974943049E-2</v>
      </c>
      <c r="P497" s="27">
        <f>K497/I497</f>
        <v>5.264192590909091</v>
      </c>
      <c r="Q497" s="22" t="b">
        <v>1</v>
      </c>
    </row>
    <row r="498" spans="1:17" x14ac:dyDescent="0.15">
      <c r="A498" s="22">
        <v>497</v>
      </c>
      <c r="B498" s="22">
        <v>2576</v>
      </c>
      <c r="C498" s="23">
        <v>4</v>
      </c>
      <c r="D498" s="24" t="s">
        <v>1473</v>
      </c>
      <c r="E498" s="24" t="s">
        <v>957</v>
      </c>
      <c r="F498" s="25">
        <v>809</v>
      </c>
      <c r="G498" s="25">
        <f>F498*1000000</f>
        <v>809000000</v>
      </c>
      <c r="H498" s="25">
        <v>66</v>
      </c>
      <c r="I498" s="25">
        <f>H498*1000000</f>
        <v>66000000</v>
      </c>
      <c r="J498" s="24" t="s">
        <v>958</v>
      </c>
      <c r="K498" s="25">
        <v>19652638</v>
      </c>
      <c r="L498" s="23">
        <v>5478</v>
      </c>
      <c r="M498" s="23">
        <v>94</v>
      </c>
      <c r="N498" s="22">
        <v>0</v>
      </c>
      <c r="O498" s="26">
        <f>K498/G498</f>
        <v>2.4292506798516689E-2</v>
      </c>
      <c r="P498" s="27">
        <f>K498/I498</f>
        <v>0.29776724242424241</v>
      </c>
      <c r="Q498" s="22" t="b">
        <v>1</v>
      </c>
    </row>
    <row r="499" spans="1:17" x14ac:dyDescent="0.15">
      <c r="A499" s="22">
        <v>498</v>
      </c>
      <c r="B499" s="22">
        <v>2575</v>
      </c>
      <c r="C499" s="23">
        <v>3</v>
      </c>
      <c r="D499" s="24" t="s">
        <v>1472</v>
      </c>
      <c r="E499" s="24" t="s">
        <v>959</v>
      </c>
      <c r="F499" s="25">
        <v>3484</v>
      </c>
      <c r="G499" s="25">
        <f>F499*1000000</f>
        <v>3484000000</v>
      </c>
      <c r="H499" s="25">
        <v>234</v>
      </c>
      <c r="I499" s="25">
        <f>H499*1000000</f>
        <v>234000000</v>
      </c>
      <c r="J499" s="24" t="s">
        <v>960</v>
      </c>
      <c r="K499" s="25">
        <v>58571811</v>
      </c>
      <c r="L499" s="23">
        <v>13300</v>
      </c>
      <c r="M499" s="23">
        <v>127</v>
      </c>
      <c r="N499" s="22">
        <v>0</v>
      </c>
      <c r="O499" s="26">
        <f>K499/G499</f>
        <v>1.6811656429391503E-2</v>
      </c>
      <c r="P499" s="27">
        <f>K499/I499</f>
        <v>0.25030688461538464</v>
      </c>
      <c r="Q499" s="22" t="b">
        <v>1</v>
      </c>
    </row>
    <row r="500" spans="1:17" x14ac:dyDescent="0.15">
      <c r="A500" s="22">
        <v>499</v>
      </c>
      <c r="B500" s="22">
        <v>2574</v>
      </c>
      <c r="C500" s="23">
        <v>9</v>
      </c>
      <c r="D500" s="24" t="s">
        <v>1478</v>
      </c>
      <c r="E500" s="24" t="s">
        <v>961</v>
      </c>
      <c r="F500" s="25">
        <v>2859</v>
      </c>
      <c r="G500" s="25">
        <f>F500*1000000</f>
        <v>2859000000</v>
      </c>
      <c r="H500" s="25">
        <v>75</v>
      </c>
      <c r="I500" s="25">
        <f>H500*1000000</f>
        <v>75000000</v>
      </c>
      <c r="J500" s="24" t="s">
        <v>88</v>
      </c>
      <c r="K500" s="25">
        <v>33982126</v>
      </c>
      <c r="L500" s="23" t="s">
        <v>63</v>
      </c>
      <c r="M500" s="23">
        <v>271</v>
      </c>
      <c r="N500" s="22">
        <v>0</v>
      </c>
      <c r="O500" s="26">
        <f>K500/G500</f>
        <v>1.1886018188177685E-2</v>
      </c>
      <c r="P500" s="27">
        <f>K500/I500</f>
        <v>0.45309501333333335</v>
      </c>
      <c r="Q500" s="22" t="b">
        <v>1</v>
      </c>
    </row>
    <row r="501" spans="1:17" x14ac:dyDescent="0.15">
      <c r="A501" s="22">
        <v>500</v>
      </c>
      <c r="B501" s="22">
        <v>2573</v>
      </c>
      <c r="C501" s="23">
        <v>20</v>
      </c>
      <c r="D501" s="24" t="s">
        <v>1489</v>
      </c>
      <c r="E501" s="24" t="s">
        <v>962</v>
      </c>
      <c r="F501" s="25">
        <v>4152</v>
      </c>
      <c r="G501" s="25">
        <f>F501*1000000</f>
        <v>4152000000</v>
      </c>
      <c r="H501" s="25">
        <v>143</v>
      </c>
      <c r="I501" s="25">
        <f>H501*1000000</f>
        <v>143000000</v>
      </c>
      <c r="J501" s="24" t="s">
        <v>963</v>
      </c>
      <c r="K501" s="25">
        <v>92999390</v>
      </c>
      <c r="L501" s="23">
        <v>11300</v>
      </c>
      <c r="M501" s="23">
        <v>461</v>
      </c>
      <c r="N501" s="22">
        <v>0</v>
      </c>
      <c r="O501" s="26">
        <f>K501/G501</f>
        <v>2.2398697013487477E-2</v>
      </c>
      <c r="P501" s="27">
        <f>K501/I501</f>
        <v>0.6503453846153846</v>
      </c>
      <c r="Q501" s="22" t="b">
        <v>1</v>
      </c>
    </row>
    <row r="502" spans="1:17" x14ac:dyDescent="0.15">
      <c r="H502" s="13"/>
    </row>
  </sheetData>
  <autoFilter ref="A1:R502" xr:uid="{00000000-0001-0000-0000-000000000000}"/>
  <printOptions gridLines="1" gridLinesSet="0"/>
  <pageMargins left="0.75" right="0.75" top="1" bottom="1" header="0.5" footer="0.5"/>
  <pageSetup orientation="portrait" horizontalDpi="0" verticalDpi="0" copies="0"/>
  <headerFooter alignWithMargins="0">
    <oddHeader>&amp;A</oddHeader>
    <oddFooter>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1"/>
  <sheetViews>
    <sheetView workbookViewId="0">
      <selection activeCell="F1" sqref="F1:G1048576"/>
    </sheetView>
  </sheetViews>
  <sheetFormatPr baseColWidth="10" defaultColWidth="8.75" defaultRowHeight="12" x14ac:dyDescent="0.15"/>
  <cols>
    <col min="1" max="1" width="5.75" style="4" customWidth="1"/>
    <col min="2" max="2" width="7.25" style="4" customWidth="1"/>
    <col min="3" max="3" width="8" style="4" customWidth="1"/>
    <col min="4" max="4" width="42.5" style="4" customWidth="1"/>
    <col min="5" max="5" width="17.75" style="4" customWidth="1"/>
    <col min="6" max="6" width="12.5" style="4" customWidth="1"/>
    <col min="7" max="7" width="9.25" style="4" customWidth="1"/>
    <col min="8" max="8" width="9" style="4" customWidth="1"/>
    <col min="9" max="10" width="6.25" style="4" customWidth="1"/>
    <col min="11" max="16384" width="8.75" style="4"/>
  </cols>
  <sheetData>
    <row r="1" spans="1:10" s="3" customFormat="1" x14ac:dyDescent="0.15">
      <c r="A1" s="3" t="s">
        <v>964</v>
      </c>
      <c r="B1" s="3" t="s">
        <v>0</v>
      </c>
      <c r="C1" s="3" t="s">
        <v>1</v>
      </c>
      <c r="D1" s="3" t="s">
        <v>2</v>
      </c>
      <c r="E1" s="3" t="s">
        <v>6</v>
      </c>
      <c r="F1" s="3" t="s">
        <v>965</v>
      </c>
      <c r="G1" s="3" t="s">
        <v>966</v>
      </c>
      <c r="H1" s="3" t="s">
        <v>967</v>
      </c>
      <c r="I1" s="3" t="s">
        <v>968</v>
      </c>
      <c r="J1" s="3" t="s">
        <v>969</v>
      </c>
    </row>
    <row r="2" spans="1:10" x14ac:dyDescent="0.15">
      <c r="A2" s="4">
        <v>18</v>
      </c>
      <c r="B2" s="4">
        <v>1</v>
      </c>
      <c r="C2" s="4">
        <v>47911</v>
      </c>
      <c r="D2" s="5" t="s">
        <v>970</v>
      </c>
      <c r="E2" s="6">
        <v>4000000000</v>
      </c>
      <c r="F2" s="4">
        <v>301700</v>
      </c>
      <c r="G2" s="4">
        <v>28376</v>
      </c>
      <c r="H2" s="4">
        <v>1</v>
      </c>
      <c r="I2" s="4">
        <v>0</v>
      </c>
      <c r="J2" s="4">
        <v>1</v>
      </c>
    </row>
    <row r="3" spans="1:10" x14ac:dyDescent="0.15">
      <c r="A3" s="4">
        <v>12</v>
      </c>
      <c r="B3" s="4">
        <v>2</v>
      </c>
      <c r="C3" s="4">
        <v>46169</v>
      </c>
      <c r="D3" s="5" t="s">
        <v>971</v>
      </c>
      <c r="E3" s="6">
        <v>758887916</v>
      </c>
      <c r="F3" s="4">
        <v>221000</v>
      </c>
      <c r="G3" s="4">
        <v>5171</v>
      </c>
      <c r="H3" s="4">
        <v>0</v>
      </c>
      <c r="I3" s="4">
        <v>0</v>
      </c>
      <c r="J3" s="4">
        <v>0</v>
      </c>
    </row>
    <row r="4" spans="1:10" x14ac:dyDescent="0.15">
      <c r="A4" s="4">
        <v>12</v>
      </c>
      <c r="B4" s="4">
        <v>3</v>
      </c>
      <c r="C4" s="4">
        <v>43189</v>
      </c>
      <c r="D4" s="5" t="s">
        <v>972</v>
      </c>
      <c r="E4" s="6">
        <v>2821838708</v>
      </c>
      <c r="F4" s="4">
        <v>700000</v>
      </c>
      <c r="G4" s="4" t="s">
        <v>63</v>
      </c>
      <c r="H4" s="4">
        <v>1</v>
      </c>
      <c r="I4" s="4">
        <v>0</v>
      </c>
      <c r="J4" s="4">
        <v>0</v>
      </c>
    </row>
    <row r="5" spans="1:10" x14ac:dyDescent="0.15">
      <c r="A5" s="4">
        <v>10</v>
      </c>
      <c r="B5" s="4">
        <v>4</v>
      </c>
      <c r="C5" s="4">
        <v>39213</v>
      </c>
      <c r="D5" s="5" t="s">
        <v>973</v>
      </c>
      <c r="E5" s="6">
        <v>100000000</v>
      </c>
      <c r="F5" s="4">
        <v>215000</v>
      </c>
      <c r="G5" s="4">
        <v>800</v>
      </c>
      <c r="H5" s="4">
        <v>1</v>
      </c>
      <c r="I5" s="4">
        <v>0</v>
      </c>
      <c r="J5" s="4">
        <v>1</v>
      </c>
    </row>
    <row r="6" spans="1:10" x14ac:dyDescent="0.15">
      <c r="A6" s="4">
        <v>4</v>
      </c>
      <c r="B6" s="4">
        <v>5</v>
      </c>
      <c r="C6" s="4">
        <v>31469</v>
      </c>
      <c r="D6" s="5" t="s">
        <v>974</v>
      </c>
      <c r="E6" s="6">
        <v>2300000000</v>
      </c>
      <c r="F6" s="4">
        <v>220000</v>
      </c>
      <c r="G6" s="4">
        <v>14000</v>
      </c>
      <c r="H6" s="4">
        <v>1</v>
      </c>
      <c r="I6" s="4">
        <v>0</v>
      </c>
      <c r="J6" s="4">
        <v>1</v>
      </c>
    </row>
    <row r="7" spans="1:10" x14ac:dyDescent="0.15">
      <c r="A7" s="4">
        <v>1</v>
      </c>
      <c r="B7" s="4">
        <v>6</v>
      </c>
      <c r="C7" s="4">
        <v>28381</v>
      </c>
      <c r="D7" s="5" t="s">
        <v>975</v>
      </c>
      <c r="E7" s="6">
        <v>111721100</v>
      </c>
      <c r="F7" s="4">
        <v>35000</v>
      </c>
      <c r="G7" s="4">
        <v>3000</v>
      </c>
      <c r="H7" s="4">
        <v>1</v>
      </c>
      <c r="I7" s="4">
        <v>0</v>
      </c>
      <c r="J7" s="4">
        <v>0</v>
      </c>
    </row>
    <row r="8" spans="1:10" x14ac:dyDescent="0.15">
      <c r="A8" s="4">
        <v>18</v>
      </c>
      <c r="B8" s="4">
        <v>7</v>
      </c>
      <c r="C8" s="4">
        <v>25949</v>
      </c>
      <c r="D8" s="5" t="s">
        <v>976</v>
      </c>
      <c r="E8" s="6">
        <v>994364589</v>
      </c>
      <c r="F8" s="4">
        <v>117446</v>
      </c>
      <c r="G8" s="4">
        <v>4247</v>
      </c>
      <c r="H8" s="4">
        <v>0</v>
      </c>
      <c r="I8" s="4">
        <v>0</v>
      </c>
      <c r="J8" s="4">
        <v>0</v>
      </c>
    </row>
    <row r="9" spans="1:10" x14ac:dyDescent="0.15">
      <c r="A9" s="4">
        <v>6</v>
      </c>
      <c r="B9" s="4">
        <v>8</v>
      </c>
      <c r="C9" s="4">
        <v>25671</v>
      </c>
      <c r="D9" s="5" t="s">
        <v>977</v>
      </c>
      <c r="E9" s="6">
        <v>700000000</v>
      </c>
      <c r="F9" s="4">
        <v>100000</v>
      </c>
      <c r="G9" s="4">
        <v>3500</v>
      </c>
      <c r="H9" s="4">
        <v>1</v>
      </c>
      <c r="I9" s="4">
        <v>0</v>
      </c>
      <c r="J9" s="4">
        <v>1</v>
      </c>
    </row>
    <row r="10" spans="1:10" x14ac:dyDescent="0.15">
      <c r="A10" s="4">
        <v>1</v>
      </c>
      <c r="B10" s="4">
        <v>9</v>
      </c>
      <c r="C10" s="4">
        <v>25026</v>
      </c>
      <c r="D10" s="5" t="s">
        <v>978</v>
      </c>
      <c r="E10" s="6">
        <v>233412542</v>
      </c>
      <c r="F10" s="4" t="s">
        <v>63</v>
      </c>
      <c r="G10" s="4">
        <v>1759</v>
      </c>
      <c r="H10" s="4">
        <v>1</v>
      </c>
      <c r="I10" s="4">
        <v>0</v>
      </c>
      <c r="J10" s="4">
        <v>1</v>
      </c>
    </row>
    <row r="11" spans="1:10" x14ac:dyDescent="0.15">
      <c r="A11" s="4">
        <v>12</v>
      </c>
      <c r="B11" s="4">
        <v>10</v>
      </c>
      <c r="C11" s="4">
        <v>24372</v>
      </c>
      <c r="D11" s="5" t="s">
        <v>979</v>
      </c>
      <c r="E11" s="6">
        <v>1250000000</v>
      </c>
      <c r="F11" s="4">
        <v>337778</v>
      </c>
      <c r="G11" s="4">
        <v>5949</v>
      </c>
      <c r="H11" s="4">
        <v>1</v>
      </c>
      <c r="I11" s="4">
        <v>1</v>
      </c>
      <c r="J11" s="4">
        <v>1</v>
      </c>
    </row>
    <row r="12" spans="1:10" x14ac:dyDescent="0.15">
      <c r="A12" s="4">
        <v>17</v>
      </c>
      <c r="B12" s="4">
        <v>11</v>
      </c>
      <c r="C12" s="4">
        <v>23720</v>
      </c>
      <c r="D12" s="5" t="s">
        <v>980</v>
      </c>
      <c r="E12" s="6">
        <v>184688571</v>
      </c>
      <c r="F12" s="4">
        <v>334000</v>
      </c>
      <c r="G12" s="4">
        <v>1122</v>
      </c>
      <c r="H12" s="4">
        <v>0</v>
      </c>
      <c r="I12" s="4">
        <v>1</v>
      </c>
      <c r="J12" s="4">
        <v>1</v>
      </c>
    </row>
    <row r="13" spans="1:10" x14ac:dyDescent="0.15">
      <c r="A13" s="4">
        <v>4</v>
      </c>
      <c r="B13" s="4">
        <v>12</v>
      </c>
      <c r="C13" s="4">
        <v>23215</v>
      </c>
      <c r="D13" s="5" t="s">
        <v>981</v>
      </c>
      <c r="E13" s="6">
        <v>725000000</v>
      </c>
      <c r="F13" s="4">
        <v>60000</v>
      </c>
      <c r="G13" s="4">
        <v>3000</v>
      </c>
      <c r="H13" s="4">
        <v>1</v>
      </c>
      <c r="I13" s="4">
        <v>0</v>
      </c>
      <c r="J13" s="4">
        <v>1</v>
      </c>
    </row>
    <row r="14" spans="1:10" x14ac:dyDescent="0.15">
      <c r="A14" s="4">
        <v>4</v>
      </c>
      <c r="B14" s="4">
        <v>13</v>
      </c>
      <c r="C14" s="4">
        <v>22317</v>
      </c>
      <c r="D14" s="5" t="s">
        <v>982</v>
      </c>
      <c r="E14" s="6">
        <v>244000000</v>
      </c>
      <c r="F14" s="4">
        <v>82000</v>
      </c>
      <c r="G14" s="4">
        <v>1000</v>
      </c>
      <c r="H14" s="4">
        <v>0</v>
      </c>
      <c r="I14" s="4">
        <v>0</v>
      </c>
      <c r="J14" s="4">
        <v>1</v>
      </c>
    </row>
    <row r="15" spans="1:10" x14ac:dyDescent="0.15">
      <c r="A15" s="4">
        <v>4</v>
      </c>
      <c r="B15" s="4">
        <v>14</v>
      </c>
      <c r="C15" s="4">
        <v>21286</v>
      </c>
      <c r="D15" s="5" t="s">
        <v>983</v>
      </c>
      <c r="E15" s="6">
        <v>955000000</v>
      </c>
      <c r="F15" s="4">
        <v>98400</v>
      </c>
      <c r="G15" s="4">
        <v>5600</v>
      </c>
      <c r="H15" s="4">
        <v>1</v>
      </c>
      <c r="I15" s="4">
        <v>1</v>
      </c>
      <c r="J15" s="4">
        <v>1</v>
      </c>
    </row>
    <row r="16" spans="1:10" x14ac:dyDescent="0.15">
      <c r="A16" s="4">
        <v>3</v>
      </c>
      <c r="B16" s="4">
        <v>15</v>
      </c>
      <c r="C16" s="4">
        <v>20097</v>
      </c>
      <c r="D16" s="5" t="s">
        <v>984</v>
      </c>
      <c r="E16" s="6">
        <v>715000000</v>
      </c>
      <c r="F16" s="4">
        <v>107000</v>
      </c>
      <c r="G16" s="4">
        <v>1549</v>
      </c>
      <c r="H16" s="4">
        <v>1</v>
      </c>
      <c r="I16" s="4">
        <v>1</v>
      </c>
      <c r="J16" s="4">
        <v>1</v>
      </c>
    </row>
    <row r="17" spans="1:10" x14ac:dyDescent="0.15">
      <c r="A17" s="4">
        <v>12</v>
      </c>
      <c r="B17" s="4">
        <v>16</v>
      </c>
      <c r="C17" s="4">
        <v>19949</v>
      </c>
      <c r="D17" s="5" t="s">
        <v>985</v>
      </c>
      <c r="E17" s="6">
        <v>111709594</v>
      </c>
      <c r="F17" s="4">
        <v>101654</v>
      </c>
      <c r="G17" s="4">
        <v>761</v>
      </c>
      <c r="H17" s="4">
        <v>0</v>
      </c>
      <c r="I17" s="4">
        <v>0</v>
      </c>
      <c r="J17" s="4">
        <v>0</v>
      </c>
    </row>
    <row r="18" spans="1:10" x14ac:dyDescent="0.15">
      <c r="A18" s="4">
        <v>6</v>
      </c>
      <c r="B18" s="4">
        <v>17</v>
      </c>
      <c r="C18" s="4">
        <v>19920</v>
      </c>
      <c r="D18" s="5" t="s">
        <v>986</v>
      </c>
      <c r="E18" s="6">
        <v>229844020</v>
      </c>
      <c r="F18" s="4">
        <v>75000</v>
      </c>
      <c r="G18" s="4">
        <v>1000</v>
      </c>
      <c r="H18" s="4">
        <v>0</v>
      </c>
      <c r="I18" s="4">
        <v>0</v>
      </c>
      <c r="J18" s="4">
        <v>0</v>
      </c>
    </row>
    <row r="19" spans="1:10" x14ac:dyDescent="0.15">
      <c r="A19" s="4">
        <v>4</v>
      </c>
      <c r="B19" s="4">
        <v>18</v>
      </c>
      <c r="C19" s="4">
        <v>19165</v>
      </c>
      <c r="D19" s="5" t="s">
        <v>987</v>
      </c>
      <c r="E19" s="6">
        <v>130000000</v>
      </c>
      <c r="F19" s="4">
        <v>20000</v>
      </c>
      <c r="G19" s="4">
        <v>2500</v>
      </c>
      <c r="H19" s="4">
        <v>0</v>
      </c>
      <c r="I19" s="4">
        <v>1</v>
      </c>
      <c r="J19" s="4">
        <v>1</v>
      </c>
    </row>
    <row r="20" spans="1:10" x14ac:dyDescent="0.15">
      <c r="A20" s="4">
        <v>1</v>
      </c>
      <c r="B20" s="4">
        <v>19</v>
      </c>
      <c r="C20" s="4">
        <v>18959</v>
      </c>
      <c r="D20" s="5" t="s">
        <v>988</v>
      </c>
      <c r="E20" s="6">
        <v>385000000</v>
      </c>
      <c r="F20" s="4">
        <v>75000</v>
      </c>
      <c r="G20" s="4">
        <v>1960</v>
      </c>
      <c r="H20" s="4">
        <v>1</v>
      </c>
      <c r="I20" s="4">
        <v>1</v>
      </c>
      <c r="J20" s="4">
        <v>1</v>
      </c>
    </row>
    <row r="21" spans="1:10" x14ac:dyDescent="0.15">
      <c r="A21" s="4">
        <v>4</v>
      </c>
      <c r="B21" s="4">
        <v>20</v>
      </c>
      <c r="C21" s="4">
        <v>18855</v>
      </c>
      <c r="D21" s="5" t="s">
        <v>989</v>
      </c>
      <c r="E21" s="6">
        <v>670000000</v>
      </c>
      <c r="F21" s="4">
        <v>87600</v>
      </c>
      <c r="G21" s="4">
        <v>600</v>
      </c>
      <c r="H21" s="4">
        <v>0</v>
      </c>
      <c r="I21" s="4">
        <v>0</v>
      </c>
      <c r="J21" s="4">
        <v>1</v>
      </c>
    </row>
    <row r="22" spans="1:10" x14ac:dyDescent="0.15">
      <c r="A22" s="4">
        <v>1</v>
      </c>
      <c r="B22" s="4">
        <v>21</v>
      </c>
      <c r="C22" s="4">
        <v>18721</v>
      </c>
      <c r="D22" s="5" t="s">
        <v>990</v>
      </c>
      <c r="E22" s="6">
        <v>650022130</v>
      </c>
      <c r="F22" s="4">
        <v>168600</v>
      </c>
      <c r="G22" s="4">
        <v>2500</v>
      </c>
      <c r="H22" s="4">
        <v>0</v>
      </c>
      <c r="I22" s="4">
        <v>0</v>
      </c>
      <c r="J22" s="4">
        <v>1</v>
      </c>
    </row>
    <row r="23" spans="1:10" x14ac:dyDescent="0.15">
      <c r="A23" s="4">
        <v>4</v>
      </c>
      <c r="B23" s="4">
        <v>22</v>
      </c>
      <c r="C23" s="4">
        <v>17877</v>
      </c>
      <c r="D23" s="5" t="s">
        <v>991</v>
      </c>
      <c r="E23" s="6">
        <v>233000000</v>
      </c>
      <c r="F23" s="4">
        <v>37800</v>
      </c>
      <c r="G23" s="4">
        <v>1561</v>
      </c>
      <c r="H23" s="4">
        <v>0</v>
      </c>
      <c r="I23" s="4">
        <v>0</v>
      </c>
      <c r="J23" s="4">
        <v>1</v>
      </c>
    </row>
    <row r="24" spans="1:10" x14ac:dyDescent="0.15">
      <c r="A24" s="4">
        <v>9</v>
      </c>
      <c r="B24" s="4">
        <v>23</v>
      </c>
      <c r="C24" s="4">
        <v>17715</v>
      </c>
      <c r="D24" s="5" t="s">
        <v>992</v>
      </c>
      <c r="E24" s="6">
        <v>774076948</v>
      </c>
      <c r="F24" s="4">
        <v>173000</v>
      </c>
      <c r="G24" s="4">
        <v>6175</v>
      </c>
      <c r="H24" s="4">
        <v>0</v>
      </c>
      <c r="I24" s="4">
        <v>0</v>
      </c>
      <c r="J24" s="4">
        <v>0</v>
      </c>
    </row>
    <row r="25" spans="1:10" x14ac:dyDescent="0.15">
      <c r="A25" s="4">
        <v>1</v>
      </c>
      <c r="B25" s="4">
        <v>24</v>
      </c>
      <c r="C25" s="4">
        <v>17681</v>
      </c>
      <c r="D25" s="5" t="s">
        <v>993</v>
      </c>
      <c r="E25" s="6">
        <v>294000000</v>
      </c>
      <c r="F25" s="4">
        <v>56000</v>
      </c>
      <c r="G25" s="4">
        <v>280</v>
      </c>
      <c r="H25" s="4">
        <v>0</v>
      </c>
      <c r="I25" s="4">
        <v>0</v>
      </c>
      <c r="J25" s="4">
        <v>1</v>
      </c>
    </row>
    <row r="26" spans="1:10" x14ac:dyDescent="0.15">
      <c r="A26" s="4">
        <v>13</v>
      </c>
      <c r="B26" s="4">
        <v>25</v>
      </c>
      <c r="C26" s="4">
        <v>17557</v>
      </c>
      <c r="D26" s="5" t="s">
        <v>994</v>
      </c>
      <c r="E26" s="6">
        <v>52682079</v>
      </c>
      <c r="F26" s="4">
        <v>36500</v>
      </c>
      <c r="G26" s="4">
        <v>298</v>
      </c>
      <c r="H26" s="4">
        <v>1</v>
      </c>
      <c r="I26" s="4">
        <v>0</v>
      </c>
      <c r="J26" s="4">
        <v>0</v>
      </c>
    </row>
    <row r="27" spans="1:10" x14ac:dyDescent="0.15">
      <c r="A27" s="4">
        <v>13</v>
      </c>
      <c r="B27" s="4">
        <v>26</v>
      </c>
      <c r="C27" s="4">
        <v>17472</v>
      </c>
      <c r="D27" s="5" t="s">
        <v>995</v>
      </c>
      <c r="E27" s="6">
        <v>67433061</v>
      </c>
      <c r="F27" s="4">
        <v>50400</v>
      </c>
      <c r="G27" s="4">
        <v>382</v>
      </c>
      <c r="H27" s="4">
        <v>0</v>
      </c>
      <c r="I27" s="4">
        <v>0</v>
      </c>
      <c r="J27" s="4">
        <v>0</v>
      </c>
    </row>
    <row r="28" spans="1:10" x14ac:dyDescent="0.15">
      <c r="A28" s="4">
        <v>14</v>
      </c>
      <c r="B28" s="4">
        <v>27</v>
      </c>
      <c r="C28" s="4">
        <v>17206</v>
      </c>
      <c r="D28" s="5" t="s">
        <v>996</v>
      </c>
      <c r="E28" s="6">
        <v>110000000</v>
      </c>
      <c r="F28" s="4">
        <v>76000</v>
      </c>
      <c r="G28" s="4">
        <v>935</v>
      </c>
      <c r="H28" s="4">
        <v>1</v>
      </c>
      <c r="I28" s="4">
        <v>1</v>
      </c>
      <c r="J28" s="4">
        <v>1</v>
      </c>
    </row>
    <row r="29" spans="1:10" x14ac:dyDescent="0.15">
      <c r="A29" s="4">
        <v>16</v>
      </c>
      <c r="B29" s="4">
        <v>28</v>
      </c>
      <c r="C29" s="4">
        <v>16956</v>
      </c>
      <c r="D29" s="5" t="s">
        <v>997</v>
      </c>
      <c r="E29" s="6">
        <v>138924552</v>
      </c>
      <c r="F29" s="4">
        <v>61287</v>
      </c>
      <c r="G29" s="4">
        <v>570</v>
      </c>
      <c r="H29" s="4">
        <v>1</v>
      </c>
      <c r="I29" s="4">
        <v>0</v>
      </c>
      <c r="J29" s="4">
        <v>0</v>
      </c>
    </row>
    <row r="30" spans="1:10" x14ac:dyDescent="0.15">
      <c r="A30" s="4">
        <v>6</v>
      </c>
      <c r="B30" s="4">
        <v>29</v>
      </c>
      <c r="C30" s="4">
        <v>16844</v>
      </c>
      <c r="D30" s="5" t="s">
        <v>998</v>
      </c>
      <c r="E30" s="6">
        <v>267390284</v>
      </c>
      <c r="F30" s="4">
        <v>59300</v>
      </c>
      <c r="G30" s="4">
        <v>1271</v>
      </c>
      <c r="H30" s="4">
        <v>0</v>
      </c>
      <c r="I30" s="4">
        <v>0</v>
      </c>
      <c r="J30" s="4">
        <v>0</v>
      </c>
    </row>
    <row r="31" spans="1:10" x14ac:dyDescent="0.15">
      <c r="A31" s="4">
        <v>16</v>
      </c>
      <c r="B31" s="4">
        <v>30</v>
      </c>
      <c r="C31" s="4">
        <v>16536</v>
      </c>
      <c r="D31" s="5" t="s">
        <v>999</v>
      </c>
      <c r="E31" s="6">
        <v>2500000</v>
      </c>
      <c r="F31" s="4">
        <v>56000</v>
      </c>
      <c r="G31" s="4">
        <v>300</v>
      </c>
      <c r="H31" s="4">
        <v>1</v>
      </c>
      <c r="I31" s="4">
        <v>0</v>
      </c>
      <c r="J31" s="4">
        <v>1</v>
      </c>
    </row>
    <row r="32" spans="1:10" x14ac:dyDescent="0.15">
      <c r="A32" s="4">
        <v>17</v>
      </c>
      <c r="B32" s="4">
        <v>31</v>
      </c>
      <c r="C32" s="4">
        <v>16463</v>
      </c>
      <c r="D32" s="5" t="s">
        <v>1000</v>
      </c>
      <c r="E32" s="6">
        <v>292679140</v>
      </c>
      <c r="F32" s="4">
        <v>300000</v>
      </c>
      <c r="G32" s="4">
        <v>900</v>
      </c>
      <c r="H32" s="4">
        <v>1</v>
      </c>
      <c r="I32" s="4">
        <v>0</v>
      </c>
      <c r="J32" s="4">
        <v>1</v>
      </c>
    </row>
    <row r="33" spans="1:10" x14ac:dyDescent="0.15">
      <c r="A33" s="4">
        <v>1</v>
      </c>
      <c r="B33" s="4">
        <v>32</v>
      </c>
      <c r="C33" s="4">
        <v>16067</v>
      </c>
      <c r="D33" s="5" t="s">
        <v>1001</v>
      </c>
      <c r="E33" s="6">
        <v>162000000</v>
      </c>
      <c r="F33" s="4">
        <v>52000</v>
      </c>
      <c r="G33" s="4">
        <v>942</v>
      </c>
      <c r="H33" s="4">
        <v>0</v>
      </c>
      <c r="I33" s="4">
        <v>1</v>
      </c>
      <c r="J33" s="4">
        <v>1</v>
      </c>
    </row>
    <row r="34" spans="1:10" x14ac:dyDescent="0.15">
      <c r="A34" s="4">
        <v>4</v>
      </c>
      <c r="B34" s="4">
        <v>33</v>
      </c>
      <c r="C34" s="4">
        <v>15670</v>
      </c>
      <c r="D34" s="5" t="s">
        <v>1002</v>
      </c>
      <c r="E34" s="6">
        <v>22000000</v>
      </c>
      <c r="F34" s="4">
        <v>33000</v>
      </c>
      <c r="G34" s="4">
        <v>200</v>
      </c>
      <c r="H34" s="4">
        <v>0</v>
      </c>
      <c r="I34" s="4">
        <v>1</v>
      </c>
      <c r="J34" s="4">
        <v>1</v>
      </c>
    </row>
    <row r="35" spans="1:10" x14ac:dyDescent="0.15">
      <c r="A35" s="4">
        <v>1</v>
      </c>
      <c r="B35" s="4">
        <v>34</v>
      </c>
      <c r="C35" s="4">
        <v>15321</v>
      </c>
      <c r="D35" s="5" t="s">
        <v>1003</v>
      </c>
      <c r="E35" s="6">
        <v>19500000</v>
      </c>
      <c r="F35" s="4">
        <v>68000</v>
      </c>
      <c r="G35" s="4">
        <v>1000</v>
      </c>
      <c r="H35" s="4">
        <v>0</v>
      </c>
      <c r="I35" s="4">
        <v>0</v>
      </c>
      <c r="J35" s="4">
        <v>1</v>
      </c>
    </row>
    <row r="36" spans="1:10" x14ac:dyDescent="0.15">
      <c r="A36" s="4">
        <v>6</v>
      </c>
      <c r="B36" s="4">
        <v>35</v>
      </c>
      <c r="C36" s="4">
        <v>15023</v>
      </c>
      <c r="D36" s="5" t="s">
        <v>1004</v>
      </c>
      <c r="E36" s="6">
        <v>66035543</v>
      </c>
      <c r="F36" s="4">
        <v>49500</v>
      </c>
      <c r="G36" s="4">
        <v>550</v>
      </c>
      <c r="H36" s="4">
        <v>0</v>
      </c>
      <c r="I36" s="4">
        <v>0</v>
      </c>
      <c r="J36" s="4">
        <v>0</v>
      </c>
    </row>
    <row r="37" spans="1:10" x14ac:dyDescent="0.15">
      <c r="A37" s="4">
        <v>18</v>
      </c>
      <c r="B37" s="4">
        <v>36</v>
      </c>
      <c r="C37" s="4">
        <v>14954</v>
      </c>
      <c r="D37" s="5" t="s">
        <v>1005</v>
      </c>
      <c r="E37" s="6">
        <v>748000000</v>
      </c>
      <c r="F37" s="4">
        <v>4400</v>
      </c>
      <c r="G37" s="4">
        <v>2400</v>
      </c>
      <c r="H37" s="4">
        <v>1</v>
      </c>
      <c r="I37" s="4">
        <v>1</v>
      </c>
      <c r="J37" s="4">
        <v>1</v>
      </c>
    </row>
    <row r="38" spans="1:10" x14ac:dyDescent="0.15">
      <c r="A38" s="4">
        <v>7</v>
      </c>
      <c r="B38" s="4">
        <v>37</v>
      </c>
      <c r="C38" s="4">
        <v>14726</v>
      </c>
      <c r="D38" s="5" t="s">
        <v>1006</v>
      </c>
      <c r="E38" s="4" t="s">
        <v>63</v>
      </c>
      <c r="F38" s="4">
        <v>45758</v>
      </c>
      <c r="G38" s="4">
        <v>2009</v>
      </c>
      <c r="H38" s="4">
        <v>1</v>
      </c>
      <c r="I38" s="4">
        <v>0</v>
      </c>
      <c r="J38" s="4">
        <v>1</v>
      </c>
    </row>
    <row r="39" spans="1:10" x14ac:dyDescent="0.15">
      <c r="A39" s="4">
        <v>15</v>
      </c>
      <c r="B39" s="4">
        <v>38</v>
      </c>
      <c r="C39" s="4">
        <v>14702</v>
      </c>
      <c r="D39" s="5" t="s">
        <v>1007</v>
      </c>
      <c r="E39" s="6">
        <v>175000000</v>
      </c>
      <c r="F39" s="4">
        <v>70000</v>
      </c>
      <c r="G39" s="4">
        <v>1500</v>
      </c>
      <c r="H39" s="4">
        <v>1</v>
      </c>
      <c r="I39" s="4">
        <v>1</v>
      </c>
      <c r="J39" s="4">
        <v>1</v>
      </c>
    </row>
    <row r="40" spans="1:10" x14ac:dyDescent="0.15">
      <c r="A40" s="4">
        <v>14</v>
      </c>
      <c r="B40" s="4">
        <v>39</v>
      </c>
      <c r="C40" s="4">
        <v>14629</v>
      </c>
      <c r="D40" s="5" t="s">
        <v>1008</v>
      </c>
      <c r="E40" s="6">
        <v>140000000</v>
      </c>
      <c r="F40" s="4">
        <v>36665</v>
      </c>
      <c r="G40" s="4">
        <v>950</v>
      </c>
      <c r="H40" s="4">
        <v>0</v>
      </c>
      <c r="I40" s="4">
        <v>0</v>
      </c>
      <c r="J40" s="4">
        <v>1</v>
      </c>
    </row>
    <row r="41" spans="1:10" x14ac:dyDescent="0.15">
      <c r="A41" s="4">
        <v>16</v>
      </c>
      <c r="B41" s="4">
        <v>40</v>
      </c>
      <c r="C41" s="4">
        <v>14599</v>
      </c>
      <c r="D41" s="5" t="s">
        <v>1009</v>
      </c>
      <c r="E41" s="4" t="s">
        <v>63</v>
      </c>
      <c r="F41" s="4">
        <v>72722</v>
      </c>
      <c r="G41" s="4" t="s">
        <v>63</v>
      </c>
      <c r="H41" s="4">
        <v>1</v>
      </c>
      <c r="I41" s="4">
        <v>0</v>
      </c>
      <c r="J41" s="4">
        <v>1</v>
      </c>
    </row>
    <row r="42" spans="1:10" x14ac:dyDescent="0.15">
      <c r="A42" s="4">
        <v>16</v>
      </c>
      <c r="B42" s="4">
        <v>41</v>
      </c>
      <c r="C42" s="4">
        <v>14397</v>
      </c>
      <c r="D42" s="5" t="s">
        <v>1010</v>
      </c>
      <c r="E42" s="6">
        <v>200000000</v>
      </c>
      <c r="F42" s="4">
        <v>72000</v>
      </c>
      <c r="G42" s="4">
        <v>821</v>
      </c>
      <c r="H42" s="4">
        <v>1</v>
      </c>
      <c r="I42" s="4">
        <v>0</v>
      </c>
      <c r="J42" s="4">
        <v>1</v>
      </c>
    </row>
    <row r="43" spans="1:10" x14ac:dyDescent="0.15">
      <c r="A43" s="4">
        <v>2</v>
      </c>
      <c r="B43" s="4">
        <v>42</v>
      </c>
      <c r="C43" s="4">
        <v>14084</v>
      </c>
      <c r="D43" s="5" t="s">
        <v>1011</v>
      </c>
      <c r="E43" s="6">
        <v>557959355</v>
      </c>
      <c r="F43" s="4">
        <v>45300</v>
      </c>
      <c r="G43" s="4">
        <v>2660</v>
      </c>
      <c r="H43" s="4">
        <v>1</v>
      </c>
      <c r="I43" s="4">
        <v>1</v>
      </c>
      <c r="J43" s="4">
        <v>0</v>
      </c>
    </row>
    <row r="44" spans="1:10" x14ac:dyDescent="0.15">
      <c r="A44" s="4">
        <v>14</v>
      </c>
      <c r="B44" s="4">
        <v>43</v>
      </c>
      <c r="C44" s="4">
        <v>14084</v>
      </c>
      <c r="D44" s="5" t="s">
        <v>1012</v>
      </c>
      <c r="E44" s="6">
        <v>103429349</v>
      </c>
      <c r="F44" s="4" t="s">
        <v>63</v>
      </c>
      <c r="G44" s="4">
        <v>711</v>
      </c>
      <c r="H44" s="4">
        <v>0</v>
      </c>
      <c r="I44" s="4">
        <v>0</v>
      </c>
      <c r="J44" s="4">
        <v>0</v>
      </c>
    </row>
    <row r="45" spans="1:10" x14ac:dyDescent="0.15">
      <c r="A45" s="4">
        <v>14</v>
      </c>
      <c r="B45" s="4">
        <v>44</v>
      </c>
      <c r="C45" s="4">
        <v>14027</v>
      </c>
      <c r="D45" s="5" t="s">
        <v>1013</v>
      </c>
      <c r="E45" s="6">
        <v>141546455</v>
      </c>
      <c r="F45" s="4">
        <v>74000</v>
      </c>
      <c r="G45" s="4">
        <v>974</v>
      </c>
      <c r="H45" s="4">
        <v>0</v>
      </c>
      <c r="I45" s="4">
        <v>0</v>
      </c>
      <c r="J45" s="4">
        <v>0</v>
      </c>
    </row>
    <row r="46" spans="1:10" x14ac:dyDescent="0.15">
      <c r="A46" s="4">
        <v>11</v>
      </c>
      <c r="B46" s="4">
        <v>45</v>
      </c>
      <c r="C46" s="4">
        <v>13967</v>
      </c>
      <c r="D46" s="5" t="s">
        <v>1014</v>
      </c>
      <c r="E46" s="6">
        <v>812846712</v>
      </c>
      <c r="F46" s="4">
        <v>74000</v>
      </c>
      <c r="G46" s="4">
        <v>6780</v>
      </c>
      <c r="H46" s="4">
        <v>1</v>
      </c>
      <c r="I46" s="4">
        <v>0</v>
      </c>
      <c r="J46" s="4">
        <v>0</v>
      </c>
    </row>
    <row r="47" spans="1:10" x14ac:dyDescent="0.15">
      <c r="A47" s="4">
        <v>7</v>
      </c>
      <c r="B47" s="4">
        <v>46</v>
      </c>
      <c r="C47" s="4">
        <v>13870</v>
      </c>
      <c r="D47" s="5" t="s">
        <v>1015</v>
      </c>
      <c r="E47" s="6">
        <v>130000000</v>
      </c>
      <c r="F47" s="4">
        <v>30000</v>
      </c>
      <c r="G47" s="4">
        <v>1600</v>
      </c>
      <c r="H47" s="4">
        <v>1</v>
      </c>
      <c r="I47" s="4">
        <v>0</v>
      </c>
      <c r="J47" s="4">
        <v>1</v>
      </c>
    </row>
    <row r="48" spans="1:10" x14ac:dyDescent="0.15">
      <c r="A48" s="4">
        <v>7</v>
      </c>
      <c r="B48" s="4">
        <v>47</v>
      </c>
      <c r="C48" s="4">
        <v>13869</v>
      </c>
      <c r="D48" s="5" t="s">
        <v>1016</v>
      </c>
      <c r="E48" s="6">
        <v>563478606</v>
      </c>
      <c r="F48" s="4">
        <v>43205</v>
      </c>
      <c r="G48" s="4">
        <v>2200</v>
      </c>
      <c r="H48" s="4">
        <v>1</v>
      </c>
      <c r="I48" s="4">
        <v>0</v>
      </c>
      <c r="J48" s="4">
        <v>0</v>
      </c>
    </row>
    <row r="49" spans="1:10" x14ac:dyDescent="0.15">
      <c r="A49" s="4">
        <v>9</v>
      </c>
      <c r="B49" s="4">
        <v>48</v>
      </c>
      <c r="C49" s="4">
        <v>13739</v>
      </c>
      <c r="D49" s="5" t="s">
        <v>1017</v>
      </c>
      <c r="E49" s="6">
        <v>60000000</v>
      </c>
      <c r="F49" s="4">
        <v>80000</v>
      </c>
      <c r="G49" s="4">
        <v>400</v>
      </c>
      <c r="H49" s="4">
        <v>0</v>
      </c>
      <c r="I49" s="4">
        <v>0</v>
      </c>
      <c r="J49" s="4">
        <v>1</v>
      </c>
    </row>
    <row r="50" spans="1:10" x14ac:dyDescent="0.15">
      <c r="A50" s="4">
        <v>17</v>
      </c>
      <c r="B50" s="4">
        <v>49</v>
      </c>
      <c r="C50" s="4">
        <v>13717</v>
      </c>
      <c r="D50" s="5" t="s">
        <v>1018</v>
      </c>
      <c r="E50" s="6">
        <v>18091609</v>
      </c>
      <c r="F50" s="4">
        <v>28500</v>
      </c>
      <c r="G50" s="4">
        <v>110</v>
      </c>
      <c r="H50" s="4">
        <v>0</v>
      </c>
      <c r="I50" s="4">
        <v>0</v>
      </c>
      <c r="J50" s="4">
        <v>1</v>
      </c>
    </row>
    <row r="51" spans="1:10" x14ac:dyDescent="0.15">
      <c r="A51" s="4">
        <v>6</v>
      </c>
      <c r="B51" s="4">
        <v>50</v>
      </c>
      <c r="C51" s="4">
        <v>13623</v>
      </c>
      <c r="D51" s="5" t="s">
        <v>1019</v>
      </c>
      <c r="E51" s="6">
        <v>161748023</v>
      </c>
      <c r="F51" s="4">
        <v>52300</v>
      </c>
      <c r="G51" s="4">
        <v>769</v>
      </c>
      <c r="H51" s="4">
        <v>0</v>
      </c>
      <c r="I51" s="4">
        <v>0</v>
      </c>
      <c r="J51" s="4">
        <v>0</v>
      </c>
    </row>
    <row r="52" spans="1:10" x14ac:dyDescent="0.15">
      <c r="A52" s="4">
        <v>7</v>
      </c>
      <c r="B52" s="4">
        <v>51</v>
      </c>
      <c r="C52" s="4">
        <v>13450</v>
      </c>
      <c r="D52" s="5" t="s">
        <v>1020</v>
      </c>
      <c r="E52" s="6">
        <v>180000000</v>
      </c>
      <c r="F52" s="4">
        <v>70000</v>
      </c>
      <c r="G52" s="4">
        <v>1000</v>
      </c>
      <c r="H52" s="4">
        <v>0</v>
      </c>
      <c r="I52" s="4">
        <v>0</v>
      </c>
      <c r="J52" s="4">
        <v>1</v>
      </c>
    </row>
    <row r="53" spans="1:10" x14ac:dyDescent="0.15">
      <c r="A53" s="4">
        <v>17</v>
      </c>
      <c r="B53" s="4">
        <v>52</v>
      </c>
      <c r="C53" s="4">
        <v>13325</v>
      </c>
      <c r="D53" s="5" t="s">
        <v>1021</v>
      </c>
      <c r="E53" s="6">
        <v>29500000</v>
      </c>
      <c r="F53" s="4">
        <v>65000</v>
      </c>
      <c r="G53" s="4">
        <v>130</v>
      </c>
      <c r="H53" s="4">
        <v>0</v>
      </c>
      <c r="I53" s="4">
        <v>1</v>
      </c>
      <c r="J53" s="4">
        <v>1</v>
      </c>
    </row>
    <row r="54" spans="1:10" x14ac:dyDescent="0.15">
      <c r="A54" s="4">
        <v>12</v>
      </c>
      <c r="B54" s="4">
        <v>53</v>
      </c>
      <c r="C54" s="4">
        <v>13174</v>
      </c>
      <c r="D54" s="5" t="s">
        <v>1022</v>
      </c>
      <c r="E54" s="6">
        <v>82000000</v>
      </c>
      <c r="F54" s="4">
        <v>40000</v>
      </c>
      <c r="G54" s="4">
        <v>700</v>
      </c>
      <c r="H54" s="4">
        <v>0</v>
      </c>
      <c r="I54" s="4">
        <v>0</v>
      </c>
      <c r="J54" s="4">
        <v>1</v>
      </c>
    </row>
    <row r="55" spans="1:10" x14ac:dyDescent="0.15">
      <c r="A55" s="4">
        <v>1</v>
      </c>
      <c r="B55" s="4">
        <v>54</v>
      </c>
      <c r="C55" s="4">
        <v>13171</v>
      </c>
      <c r="D55" s="5" t="s">
        <v>1023</v>
      </c>
      <c r="E55" s="6">
        <v>43542903</v>
      </c>
      <c r="F55" s="4">
        <v>21000</v>
      </c>
      <c r="G55" s="4">
        <v>328</v>
      </c>
      <c r="H55" s="4">
        <v>0</v>
      </c>
      <c r="I55" s="4">
        <v>0</v>
      </c>
      <c r="J55" s="4">
        <v>0</v>
      </c>
    </row>
    <row r="56" spans="1:10" x14ac:dyDescent="0.15">
      <c r="A56" s="4">
        <v>5</v>
      </c>
      <c r="B56" s="4">
        <v>55</v>
      </c>
      <c r="C56" s="4">
        <v>13073</v>
      </c>
      <c r="D56" s="5" t="s">
        <v>1024</v>
      </c>
      <c r="E56" s="6">
        <v>295240601</v>
      </c>
      <c r="F56" s="4" t="s">
        <v>63</v>
      </c>
      <c r="G56" s="4">
        <v>1332</v>
      </c>
      <c r="H56" s="4">
        <v>0</v>
      </c>
      <c r="I56" s="4">
        <v>0</v>
      </c>
      <c r="J56" s="4">
        <v>0</v>
      </c>
    </row>
    <row r="57" spans="1:10" x14ac:dyDescent="0.15">
      <c r="A57" s="4">
        <v>17</v>
      </c>
      <c r="B57" s="4">
        <v>56</v>
      </c>
      <c r="C57" s="4">
        <v>12588</v>
      </c>
      <c r="D57" s="5" t="s">
        <v>1025</v>
      </c>
      <c r="E57" s="6">
        <v>47000000</v>
      </c>
      <c r="F57" s="4">
        <v>55000</v>
      </c>
      <c r="G57" s="4">
        <v>289</v>
      </c>
      <c r="H57" s="4">
        <v>1</v>
      </c>
      <c r="I57" s="4">
        <v>0</v>
      </c>
      <c r="J57" s="4">
        <v>1</v>
      </c>
    </row>
    <row r="58" spans="1:10" x14ac:dyDescent="0.15">
      <c r="A58" s="4">
        <v>9</v>
      </c>
      <c r="B58" s="4">
        <v>57</v>
      </c>
      <c r="C58" s="4">
        <v>12523</v>
      </c>
      <c r="D58" s="5" t="s">
        <v>1026</v>
      </c>
      <c r="E58" s="6">
        <v>500000000</v>
      </c>
      <c r="F58" s="4">
        <v>471000</v>
      </c>
      <c r="G58" s="4">
        <v>1800</v>
      </c>
      <c r="H58" s="4">
        <v>1</v>
      </c>
      <c r="I58" s="4">
        <v>0</v>
      </c>
      <c r="J58" s="4">
        <v>1</v>
      </c>
    </row>
    <row r="59" spans="1:10" x14ac:dyDescent="0.15">
      <c r="A59" s="4">
        <v>10</v>
      </c>
      <c r="B59" s="4">
        <v>58</v>
      </c>
      <c r="C59" s="4">
        <v>12507</v>
      </c>
      <c r="D59" s="5" t="s">
        <v>1027</v>
      </c>
      <c r="E59" s="6">
        <v>75000000</v>
      </c>
      <c r="F59" s="4">
        <v>68000</v>
      </c>
      <c r="G59" s="4">
        <v>27</v>
      </c>
      <c r="H59" s="4">
        <v>1</v>
      </c>
      <c r="I59" s="4">
        <v>0</v>
      </c>
      <c r="J59" s="4">
        <v>1</v>
      </c>
    </row>
    <row r="60" spans="1:10" x14ac:dyDescent="0.15">
      <c r="A60" s="4">
        <v>2</v>
      </c>
      <c r="B60" s="4">
        <v>59</v>
      </c>
      <c r="C60" s="4">
        <v>12499</v>
      </c>
      <c r="D60" s="5" t="s">
        <v>1028</v>
      </c>
      <c r="E60" s="6">
        <v>1547015156</v>
      </c>
      <c r="F60" s="4">
        <v>80000</v>
      </c>
      <c r="G60" s="4">
        <v>9000</v>
      </c>
      <c r="H60" s="4">
        <v>1</v>
      </c>
      <c r="I60" s="4">
        <v>0</v>
      </c>
      <c r="J60" s="4">
        <v>0</v>
      </c>
    </row>
    <row r="61" spans="1:10" x14ac:dyDescent="0.15">
      <c r="A61" s="4">
        <v>16</v>
      </c>
      <c r="B61" s="4">
        <v>60</v>
      </c>
      <c r="C61" s="4">
        <v>12465</v>
      </c>
      <c r="D61" s="5" t="s">
        <v>1029</v>
      </c>
      <c r="E61" s="6">
        <v>91754820</v>
      </c>
      <c r="F61" s="4">
        <v>50122</v>
      </c>
      <c r="G61" s="4">
        <v>377</v>
      </c>
      <c r="H61" s="4">
        <v>1</v>
      </c>
      <c r="I61" s="4">
        <v>0</v>
      </c>
      <c r="J61" s="4">
        <v>0</v>
      </c>
    </row>
    <row r="62" spans="1:10" x14ac:dyDescent="0.15">
      <c r="A62" s="4">
        <v>16</v>
      </c>
      <c r="B62" s="4">
        <v>61</v>
      </c>
      <c r="C62" s="4">
        <v>12382</v>
      </c>
      <c r="D62" s="5" t="s">
        <v>1030</v>
      </c>
      <c r="E62" s="6">
        <v>250000000</v>
      </c>
      <c r="F62" s="4">
        <v>65500</v>
      </c>
      <c r="G62" s="4">
        <v>300</v>
      </c>
      <c r="H62" s="4">
        <v>1</v>
      </c>
      <c r="I62" s="4">
        <v>0</v>
      </c>
      <c r="J62" s="4">
        <v>1</v>
      </c>
    </row>
    <row r="63" spans="1:10" x14ac:dyDescent="0.15">
      <c r="A63" s="4">
        <v>2</v>
      </c>
      <c r="B63" s="4">
        <v>62</v>
      </c>
      <c r="C63" s="4">
        <v>12381</v>
      </c>
      <c r="D63" s="5" t="s">
        <v>1031</v>
      </c>
      <c r="E63" s="6">
        <v>808016036</v>
      </c>
      <c r="F63" s="4">
        <v>96428</v>
      </c>
      <c r="G63" s="4">
        <v>3719</v>
      </c>
      <c r="H63" s="4">
        <v>0</v>
      </c>
      <c r="I63" s="4">
        <v>0</v>
      </c>
      <c r="J63" s="4">
        <v>0</v>
      </c>
    </row>
    <row r="64" spans="1:10" x14ac:dyDescent="0.15">
      <c r="A64" s="4">
        <v>13</v>
      </c>
      <c r="B64" s="4">
        <v>63</v>
      </c>
      <c r="C64" s="4">
        <v>12300</v>
      </c>
      <c r="D64" s="5" t="s">
        <v>1032</v>
      </c>
      <c r="E64" s="6">
        <v>101865792</v>
      </c>
      <c r="F64" s="4">
        <v>50000</v>
      </c>
      <c r="G64" s="4">
        <v>577</v>
      </c>
      <c r="H64" s="4">
        <v>1</v>
      </c>
      <c r="I64" s="4">
        <v>0</v>
      </c>
      <c r="J64" s="4">
        <v>0</v>
      </c>
    </row>
    <row r="65" spans="1:10" x14ac:dyDescent="0.15">
      <c r="A65" s="4">
        <v>9</v>
      </c>
      <c r="B65" s="4">
        <v>64</v>
      </c>
      <c r="C65" s="4">
        <v>12085</v>
      </c>
      <c r="D65" s="5" t="s">
        <v>1033</v>
      </c>
      <c r="E65" s="6">
        <v>143274066</v>
      </c>
      <c r="F65" s="4">
        <v>42622</v>
      </c>
      <c r="G65" s="4">
        <v>1143</v>
      </c>
      <c r="H65" s="4">
        <v>0</v>
      </c>
      <c r="I65" s="4">
        <v>0</v>
      </c>
      <c r="J65" s="4">
        <v>0</v>
      </c>
    </row>
    <row r="66" spans="1:10" x14ac:dyDescent="0.15">
      <c r="A66" s="4">
        <v>18</v>
      </c>
      <c r="B66" s="4">
        <v>65</v>
      </c>
      <c r="C66" s="4">
        <v>12040</v>
      </c>
      <c r="D66" s="5" t="s">
        <v>1034</v>
      </c>
      <c r="E66" s="6">
        <v>11000000</v>
      </c>
      <c r="F66" s="4">
        <v>101</v>
      </c>
      <c r="G66" s="4">
        <v>100</v>
      </c>
      <c r="H66" s="4">
        <v>1</v>
      </c>
      <c r="I66" s="4">
        <v>1</v>
      </c>
      <c r="J66" s="4">
        <v>1</v>
      </c>
    </row>
    <row r="67" spans="1:10" x14ac:dyDescent="0.15">
      <c r="A67" s="4">
        <v>19</v>
      </c>
      <c r="B67" s="4">
        <v>66</v>
      </c>
      <c r="C67" s="4">
        <v>11811</v>
      </c>
      <c r="D67" s="5" t="s">
        <v>1035</v>
      </c>
      <c r="E67" s="6">
        <v>600000000</v>
      </c>
      <c r="F67" s="4">
        <v>286000</v>
      </c>
      <c r="G67" s="4">
        <v>4000</v>
      </c>
      <c r="H67" s="4">
        <v>0</v>
      </c>
      <c r="I67" s="4">
        <v>0</v>
      </c>
      <c r="J67" s="4">
        <v>1</v>
      </c>
    </row>
    <row r="68" spans="1:10" x14ac:dyDescent="0.15">
      <c r="A68" s="4">
        <v>6</v>
      </c>
      <c r="B68" s="4">
        <v>67</v>
      </c>
      <c r="C68" s="4">
        <v>11798</v>
      </c>
      <c r="D68" s="5" t="s">
        <v>1036</v>
      </c>
      <c r="E68" s="6">
        <v>594037438</v>
      </c>
      <c r="F68" s="4">
        <v>132000</v>
      </c>
      <c r="G68" s="4">
        <v>2824</v>
      </c>
      <c r="H68" s="4">
        <v>1</v>
      </c>
      <c r="I68" s="4">
        <v>0</v>
      </c>
      <c r="J68" s="4">
        <v>0</v>
      </c>
    </row>
    <row r="69" spans="1:10" x14ac:dyDescent="0.15">
      <c r="A69" s="4">
        <v>11</v>
      </c>
      <c r="B69" s="4">
        <v>68</v>
      </c>
      <c r="C69" s="4">
        <v>11706</v>
      </c>
      <c r="D69" s="5" t="s">
        <v>1037</v>
      </c>
      <c r="E69" s="6">
        <v>465000000</v>
      </c>
      <c r="F69" s="4">
        <v>49000</v>
      </c>
      <c r="G69" s="4">
        <v>3000</v>
      </c>
      <c r="H69" s="4">
        <v>1</v>
      </c>
      <c r="I69" s="4">
        <v>0</v>
      </c>
      <c r="J69" s="4">
        <v>1</v>
      </c>
    </row>
    <row r="70" spans="1:10" x14ac:dyDescent="0.15">
      <c r="A70" s="4">
        <v>14</v>
      </c>
      <c r="B70" s="4">
        <v>69</v>
      </c>
      <c r="C70" s="4">
        <v>11675</v>
      </c>
      <c r="D70" s="5" t="s">
        <v>1038</v>
      </c>
      <c r="E70" s="6">
        <v>80544446</v>
      </c>
      <c r="F70" s="4">
        <v>61700</v>
      </c>
      <c r="G70" s="4">
        <v>554</v>
      </c>
      <c r="H70" s="4">
        <v>0</v>
      </c>
      <c r="I70" s="4">
        <v>0</v>
      </c>
      <c r="J70" s="4">
        <v>0</v>
      </c>
    </row>
    <row r="71" spans="1:10" x14ac:dyDescent="0.15">
      <c r="A71" s="4">
        <v>1</v>
      </c>
      <c r="B71" s="4">
        <v>70</v>
      </c>
      <c r="C71" s="4">
        <v>11632</v>
      </c>
      <c r="D71" s="5" t="s">
        <v>1039</v>
      </c>
      <c r="E71" s="4" t="s">
        <v>63</v>
      </c>
      <c r="F71" s="4">
        <v>36000</v>
      </c>
      <c r="G71" s="4" t="s">
        <v>63</v>
      </c>
      <c r="H71" s="4">
        <v>0</v>
      </c>
      <c r="I71" s="4">
        <v>0</v>
      </c>
      <c r="J71" s="4">
        <v>1</v>
      </c>
    </row>
    <row r="72" spans="1:10" x14ac:dyDescent="0.15">
      <c r="A72" s="4">
        <v>13</v>
      </c>
      <c r="B72" s="4">
        <v>71</v>
      </c>
      <c r="C72" s="4">
        <v>11592</v>
      </c>
      <c r="D72" s="5" t="s">
        <v>1040</v>
      </c>
      <c r="E72" s="6">
        <v>175000000</v>
      </c>
      <c r="F72" s="4">
        <v>17500</v>
      </c>
      <c r="G72" s="4">
        <v>900</v>
      </c>
      <c r="H72" s="4">
        <v>0</v>
      </c>
      <c r="I72" s="4">
        <v>0</v>
      </c>
      <c r="J72" s="4">
        <v>1</v>
      </c>
    </row>
    <row r="73" spans="1:10" x14ac:dyDescent="0.15">
      <c r="A73" s="4">
        <v>1</v>
      </c>
      <c r="B73" s="4">
        <v>72</v>
      </c>
      <c r="C73" s="4">
        <v>11590</v>
      </c>
      <c r="D73" s="5" t="s">
        <v>1041</v>
      </c>
      <c r="E73" s="6">
        <v>320000000</v>
      </c>
      <c r="F73" s="4">
        <v>40000</v>
      </c>
      <c r="G73" s="4">
        <v>2000</v>
      </c>
      <c r="H73" s="4">
        <v>1</v>
      </c>
      <c r="I73" s="4">
        <v>1</v>
      </c>
      <c r="J73" s="4">
        <v>1</v>
      </c>
    </row>
    <row r="74" spans="1:10" x14ac:dyDescent="0.15">
      <c r="A74" s="4">
        <v>9</v>
      </c>
      <c r="B74" s="4">
        <v>73</v>
      </c>
      <c r="C74" s="4">
        <v>11567</v>
      </c>
      <c r="D74" s="5" t="s">
        <v>1042</v>
      </c>
      <c r="E74" s="6">
        <v>28000000</v>
      </c>
      <c r="F74" s="4">
        <v>26000</v>
      </c>
      <c r="G74" s="4">
        <v>500</v>
      </c>
      <c r="H74" s="4">
        <v>0</v>
      </c>
      <c r="I74" s="4">
        <v>1</v>
      </c>
      <c r="J74" s="4">
        <v>1</v>
      </c>
    </row>
    <row r="75" spans="1:10" x14ac:dyDescent="0.15">
      <c r="A75" s="4">
        <v>7</v>
      </c>
      <c r="B75" s="4">
        <v>74</v>
      </c>
      <c r="C75" s="4">
        <v>11495</v>
      </c>
      <c r="D75" s="5" t="s">
        <v>1043</v>
      </c>
      <c r="E75" s="6">
        <v>80600000</v>
      </c>
      <c r="F75" s="4">
        <v>74000</v>
      </c>
      <c r="G75" s="4">
        <v>500</v>
      </c>
      <c r="H75" s="4">
        <v>0</v>
      </c>
      <c r="I75" s="4">
        <v>0</v>
      </c>
      <c r="J75" s="4">
        <v>1</v>
      </c>
    </row>
    <row r="76" spans="1:10" x14ac:dyDescent="0.15">
      <c r="A76" s="4">
        <v>12</v>
      </c>
      <c r="B76" s="4">
        <v>75</v>
      </c>
      <c r="C76" s="4">
        <v>11492</v>
      </c>
      <c r="D76" s="5" t="s">
        <v>1044</v>
      </c>
      <c r="E76" s="6">
        <v>110000000</v>
      </c>
      <c r="F76" s="4">
        <v>40000</v>
      </c>
      <c r="G76" s="4">
        <v>700</v>
      </c>
      <c r="H76" s="4">
        <v>0</v>
      </c>
      <c r="I76" s="4">
        <v>0</v>
      </c>
      <c r="J76" s="4">
        <v>1</v>
      </c>
    </row>
    <row r="77" spans="1:10" x14ac:dyDescent="0.15">
      <c r="A77" s="4">
        <v>6</v>
      </c>
      <c r="B77" s="4">
        <v>76</v>
      </c>
      <c r="C77" s="4">
        <v>11451</v>
      </c>
      <c r="D77" s="5" t="s">
        <v>1045</v>
      </c>
      <c r="E77" s="6">
        <v>146446451</v>
      </c>
      <c r="F77" s="4">
        <v>32600</v>
      </c>
      <c r="G77" s="4">
        <v>696</v>
      </c>
      <c r="H77" s="4">
        <v>0</v>
      </c>
      <c r="I77" s="4">
        <v>0</v>
      </c>
      <c r="J77" s="4">
        <v>0</v>
      </c>
    </row>
    <row r="78" spans="1:10" x14ac:dyDescent="0.15">
      <c r="A78" s="4">
        <v>12</v>
      </c>
      <c r="B78" s="4">
        <v>77</v>
      </c>
      <c r="C78" s="4">
        <v>11444</v>
      </c>
      <c r="D78" s="5" t="s">
        <v>1046</v>
      </c>
      <c r="E78" s="6">
        <v>23000000</v>
      </c>
      <c r="F78" s="4">
        <v>20000</v>
      </c>
      <c r="G78" s="4">
        <v>120</v>
      </c>
      <c r="H78" s="4">
        <v>0</v>
      </c>
      <c r="I78" s="4">
        <v>1</v>
      </c>
      <c r="J78" s="4">
        <v>1</v>
      </c>
    </row>
    <row r="79" spans="1:10" x14ac:dyDescent="0.15">
      <c r="A79" s="4">
        <v>14</v>
      </c>
      <c r="B79" s="4">
        <v>78</v>
      </c>
      <c r="C79" s="4">
        <v>11419</v>
      </c>
      <c r="D79" s="5" t="s">
        <v>1047</v>
      </c>
      <c r="E79" s="6">
        <v>35574170</v>
      </c>
      <c r="F79" s="4">
        <v>45500</v>
      </c>
      <c r="G79" s="4">
        <v>514</v>
      </c>
      <c r="H79" s="4">
        <v>0</v>
      </c>
      <c r="I79" s="4">
        <v>0</v>
      </c>
      <c r="J79" s="4">
        <v>0</v>
      </c>
    </row>
    <row r="80" spans="1:10" x14ac:dyDescent="0.15">
      <c r="A80" s="4">
        <v>6</v>
      </c>
      <c r="B80" s="4">
        <v>79</v>
      </c>
      <c r="C80" s="4">
        <v>11399</v>
      </c>
      <c r="D80" s="5" t="s">
        <v>1048</v>
      </c>
      <c r="E80" s="6">
        <v>183592151</v>
      </c>
      <c r="F80" s="4">
        <v>53000</v>
      </c>
      <c r="G80" s="4">
        <v>500</v>
      </c>
      <c r="H80" s="4">
        <v>0</v>
      </c>
      <c r="I80" s="4">
        <v>0</v>
      </c>
      <c r="J80" s="4">
        <v>0</v>
      </c>
    </row>
    <row r="81" spans="1:10" x14ac:dyDescent="0.15">
      <c r="A81" s="4">
        <v>14</v>
      </c>
      <c r="B81" s="4">
        <v>80</v>
      </c>
      <c r="C81" s="4">
        <v>11339</v>
      </c>
      <c r="D81" s="5" t="s">
        <v>1049</v>
      </c>
      <c r="E81" s="6">
        <v>68240330</v>
      </c>
      <c r="F81" s="4">
        <v>35000</v>
      </c>
      <c r="G81" s="4">
        <v>471</v>
      </c>
      <c r="H81" s="4">
        <v>0</v>
      </c>
      <c r="I81" s="4">
        <v>0</v>
      </c>
      <c r="J81" s="4">
        <v>0</v>
      </c>
    </row>
    <row r="82" spans="1:10" x14ac:dyDescent="0.15">
      <c r="A82" s="4">
        <v>12</v>
      </c>
      <c r="B82" s="4">
        <v>81</v>
      </c>
      <c r="C82" s="4">
        <v>11004</v>
      </c>
      <c r="D82" s="5" t="s">
        <v>1050</v>
      </c>
      <c r="E82" s="6">
        <v>951060043</v>
      </c>
      <c r="F82" s="4">
        <v>128000</v>
      </c>
      <c r="G82" s="4">
        <v>7167</v>
      </c>
      <c r="H82" s="4">
        <v>0</v>
      </c>
      <c r="I82" s="4">
        <v>0</v>
      </c>
      <c r="J82" s="4">
        <v>0</v>
      </c>
    </row>
    <row r="83" spans="1:10" x14ac:dyDescent="0.15">
      <c r="A83" s="4">
        <v>9</v>
      </c>
      <c r="B83" s="4">
        <v>82</v>
      </c>
      <c r="C83" s="4">
        <v>10631</v>
      </c>
      <c r="D83" s="5" t="s">
        <v>1051</v>
      </c>
      <c r="E83" s="6">
        <v>298359558</v>
      </c>
      <c r="F83" s="4">
        <v>146000</v>
      </c>
      <c r="G83" s="4">
        <v>2984</v>
      </c>
      <c r="H83" s="4">
        <v>1</v>
      </c>
      <c r="I83" s="4">
        <v>1</v>
      </c>
      <c r="J83" s="4">
        <v>0</v>
      </c>
    </row>
    <row r="84" spans="1:10" x14ac:dyDescent="0.15">
      <c r="A84" s="4">
        <v>18</v>
      </c>
      <c r="B84" s="4">
        <v>83</v>
      </c>
      <c r="C84" s="4">
        <v>10483</v>
      </c>
      <c r="D84" s="5" t="s">
        <v>1052</v>
      </c>
      <c r="E84" s="6">
        <v>1100000000</v>
      </c>
      <c r="F84" s="4">
        <v>70000</v>
      </c>
      <c r="G84" s="4">
        <v>3900</v>
      </c>
      <c r="H84" s="4">
        <v>1</v>
      </c>
      <c r="I84" s="4">
        <v>1</v>
      </c>
      <c r="J84" s="4">
        <v>1</v>
      </c>
    </row>
    <row r="85" spans="1:10" x14ac:dyDescent="0.15">
      <c r="A85" s="4">
        <v>16</v>
      </c>
      <c r="B85" s="4">
        <v>84</v>
      </c>
      <c r="C85" s="4">
        <v>10430</v>
      </c>
      <c r="D85" s="5" t="s">
        <v>1053</v>
      </c>
      <c r="E85" s="6">
        <v>125000000</v>
      </c>
      <c r="F85" s="4">
        <v>27700</v>
      </c>
      <c r="G85" s="4">
        <v>675</v>
      </c>
      <c r="H85" s="4">
        <v>0</v>
      </c>
      <c r="I85" s="4">
        <v>0</v>
      </c>
      <c r="J85" s="4">
        <v>1</v>
      </c>
    </row>
    <row r="86" spans="1:10" x14ac:dyDescent="0.15">
      <c r="A86" s="4">
        <v>13</v>
      </c>
      <c r="B86" s="4">
        <v>85</v>
      </c>
      <c r="C86" s="4">
        <v>10421</v>
      </c>
      <c r="D86" s="5" t="s">
        <v>1054</v>
      </c>
      <c r="E86" s="6">
        <v>36843022</v>
      </c>
      <c r="F86" s="4">
        <v>31000</v>
      </c>
      <c r="G86" s="4">
        <v>209</v>
      </c>
      <c r="H86" s="4">
        <v>0</v>
      </c>
      <c r="I86" s="4">
        <v>0</v>
      </c>
      <c r="J86" s="4">
        <v>0</v>
      </c>
    </row>
    <row r="87" spans="1:10" x14ac:dyDescent="0.15">
      <c r="A87" s="4">
        <v>2</v>
      </c>
      <c r="B87" s="4">
        <v>86</v>
      </c>
      <c r="C87" s="4">
        <v>10415</v>
      </c>
      <c r="D87" s="5" t="s">
        <v>1055</v>
      </c>
      <c r="E87" s="6">
        <v>641583600</v>
      </c>
      <c r="F87" s="4">
        <v>61484</v>
      </c>
      <c r="G87" s="4">
        <v>2953</v>
      </c>
      <c r="H87" s="4">
        <v>0</v>
      </c>
      <c r="I87" s="4">
        <v>0</v>
      </c>
      <c r="J87" s="4">
        <v>0</v>
      </c>
    </row>
    <row r="88" spans="1:10" x14ac:dyDescent="0.15">
      <c r="A88" s="4">
        <v>1</v>
      </c>
      <c r="B88" s="4">
        <v>87</v>
      </c>
      <c r="C88" s="4">
        <v>10305</v>
      </c>
      <c r="D88" s="5" t="s">
        <v>1056</v>
      </c>
      <c r="E88" s="6">
        <v>861860941</v>
      </c>
      <c r="F88" s="4">
        <v>123000</v>
      </c>
      <c r="G88" s="4">
        <v>9911</v>
      </c>
      <c r="H88" s="4">
        <v>0</v>
      </c>
      <c r="I88" s="4">
        <v>0</v>
      </c>
      <c r="J88" s="4">
        <v>0</v>
      </c>
    </row>
    <row r="89" spans="1:10" x14ac:dyDescent="0.15">
      <c r="A89" s="4">
        <v>2</v>
      </c>
      <c r="B89" s="4">
        <v>88</v>
      </c>
      <c r="C89" s="4">
        <v>10302</v>
      </c>
      <c r="D89" s="5" t="s">
        <v>1057</v>
      </c>
      <c r="E89" s="6">
        <v>350000000</v>
      </c>
      <c r="F89" s="4">
        <v>36000</v>
      </c>
      <c r="G89" s="4">
        <v>3161</v>
      </c>
      <c r="H89" s="4">
        <v>1</v>
      </c>
      <c r="I89" s="4">
        <v>0</v>
      </c>
      <c r="J89" s="4">
        <v>1</v>
      </c>
    </row>
    <row r="90" spans="1:10" x14ac:dyDescent="0.15">
      <c r="A90" s="4">
        <v>7</v>
      </c>
      <c r="B90" s="4">
        <v>89</v>
      </c>
      <c r="C90" s="4">
        <v>10250</v>
      </c>
      <c r="D90" s="5" t="s">
        <v>1058</v>
      </c>
      <c r="E90" s="6">
        <v>626088163</v>
      </c>
      <c r="F90" s="4">
        <v>61900</v>
      </c>
      <c r="G90" s="4">
        <v>3667</v>
      </c>
      <c r="H90" s="4">
        <v>0</v>
      </c>
      <c r="I90" s="4">
        <v>0</v>
      </c>
      <c r="J90" s="4">
        <v>0</v>
      </c>
    </row>
    <row r="91" spans="1:10" x14ac:dyDescent="0.15">
      <c r="A91" s="4">
        <v>2</v>
      </c>
      <c r="B91" s="4">
        <v>90</v>
      </c>
      <c r="C91" s="4">
        <v>10183</v>
      </c>
      <c r="D91" s="5" t="s">
        <v>1059</v>
      </c>
      <c r="E91" s="6">
        <v>200000000</v>
      </c>
      <c r="F91" s="4">
        <v>26000</v>
      </c>
      <c r="G91" s="4">
        <v>1000</v>
      </c>
      <c r="H91" s="4">
        <v>1</v>
      </c>
      <c r="I91" s="4">
        <v>1</v>
      </c>
      <c r="J91" s="4">
        <v>1</v>
      </c>
    </row>
    <row r="92" spans="1:10" x14ac:dyDescent="0.15">
      <c r="A92" s="4">
        <v>13</v>
      </c>
      <c r="B92" s="4">
        <v>91</v>
      </c>
      <c r="C92" s="4">
        <v>10172</v>
      </c>
      <c r="D92" s="5" t="s">
        <v>1060</v>
      </c>
      <c r="E92" s="6">
        <v>84000000</v>
      </c>
      <c r="F92" s="4">
        <v>26936</v>
      </c>
      <c r="G92" s="4">
        <v>814</v>
      </c>
      <c r="H92" s="4">
        <v>0</v>
      </c>
      <c r="I92" s="4">
        <v>0</v>
      </c>
      <c r="J92" s="4">
        <v>1</v>
      </c>
    </row>
    <row r="93" spans="1:10" x14ac:dyDescent="0.15">
      <c r="A93" s="4">
        <v>12</v>
      </c>
      <c r="B93" s="4">
        <v>92</v>
      </c>
      <c r="C93" s="4">
        <v>10033</v>
      </c>
      <c r="D93" s="5" t="s">
        <v>1061</v>
      </c>
      <c r="E93" s="6">
        <v>60000000</v>
      </c>
      <c r="F93" s="4">
        <v>27000</v>
      </c>
      <c r="G93" s="4">
        <v>500</v>
      </c>
      <c r="H93" s="4">
        <v>0</v>
      </c>
      <c r="I93" s="4">
        <v>0</v>
      </c>
      <c r="J93" s="4">
        <v>1</v>
      </c>
    </row>
    <row r="94" spans="1:10" x14ac:dyDescent="0.15">
      <c r="A94" s="4">
        <v>12</v>
      </c>
      <c r="B94" s="4">
        <v>93</v>
      </c>
      <c r="C94" s="4">
        <v>10033</v>
      </c>
      <c r="D94" s="5" t="s">
        <v>1062</v>
      </c>
      <c r="E94" s="6">
        <v>595098521</v>
      </c>
      <c r="F94" s="4">
        <v>73300</v>
      </c>
      <c r="G94" s="4">
        <v>1525</v>
      </c>
      <c r="H94" s="4">
        <v>0</v>
      </c>
      <c r="I94" s="4">
        <v>0</v>
      </c>
      <c r="J94" s="4">
        <v>0</v>
      </c>
    </row>
    <row r="95" spans="1:10" x14ac:dyDescent="0.15">
      <c r="A95" s="4">
        <v>7</v>
      </c>
      <c r="B95" s="4">
        <v>94</v>
      </c>
      <c r="C95" s="4">
        <v>10014</v>
      </c>
      <c r="D95" s="5" t="s">
        <v>1063</v>
      </c>
      <c r="E95" s="6">
        <v>1057990200</v>
      </c>
      <c r="F95" s="4">
        <v>91000</v>
      </c>
      <c r="G95" s="4">
        <v>6197</v>
      </c>
      <c r="H95" s="4">
        <v>0</v>
      </c>
      <c r="I95" s="4">
        <v>0</v>
      </c>
      <c r="J95" s="4">
        <v>0</v>
      </c>
    </row>
    <row r="96" spans="1:10" x14ac:dyDescent="0.15">
      <c r="A96" s="4">
        <v>12</v>
      </c>
      <c r="B96" s="4">
        <v>95</v>
      </c>
      <c r="C96" s="4">
        <v>9994</v>
      </c>
      <c r="D96" s="5" t="s">
        <v>1064</v>
      </c>
      <c r="E96" s="6">
        <v>400347000</v>
      </c>
      <c r="F96" s="4">
        <v>85000</v>
      </c>
      <c r="G96" s="4">
        <v>3000</v>
      </c>
      <c r="H96" s="4">
        <v>1</v>
      </c>
      <c r="I96" s="4">
        <v>1</v>
      </c>
      <c r="J96" s="4">
        <v>1</v>
      </c>
    </row>
    <row r="97" spans="1:10" x14ac:dyDescent="0.15">
      <c r="A97" s="4">
        <v>3</v>
      </c>
      <c r="B97" s="4">
        <v>96</v>
      </c>
      <c r="C97" s="4">
        <v>9928</v>
      </c>
      <c r="D97" s="5" t="s">
        <v>1065</v>
      </c>
      <c r="E97" s="6">
        <v>250000000</v>
      </c>
      <c r="F97" s="4">
        <v>30000</v>
      </c>
      <c r="G97" s="4">
        <v>800</v>
      </c>
      <c r="H97" s="4">
        <v>1</v>
      </c>
      <c r="I97" s="4">
        <v>0</v>
      </c>
      <c r="J97" s="4">
        <v>1</v>
      </c>
    </row>
    <row r="98" spans="1:10" x14ac:dyDescent="0.15">
      <c r="A98" s="4">
        <v>13</v>
      </c>
      <c r="B98" s="4">
        <v>97</v>
      </c>
      <c r="C98" s="4">
        <v>9925</v>
      </c>
      <c r="D98" s="5" t="s">
        <v>1066</v>
      </c>
      <c r="E98" s="6">
        <v>87858557</v>
      </c>
      <c r="F98" s="4">
        <v>19250</v>
      </c>
      <c r="G98" s="4">
        <v>498</v>
      </c>
      <c r="H98" s="4">
        <v>0</v>
      </c>
      <c r="I98" s="4">
        <v>0</v>
      </c>
      <c r="J98" s="4">
        <v>0</v>
      </c>
    </row>
    <row r="99" spans="1:10" x14ac:dyDescent="0.15">
      <c r="A99" s="4">
        <v>3</v>
      </c>
      <c r="B99" s="4">
        <v>98</v>
      </c>
      <c r="C99" s="4">
        <v>9906</v>
      </c>
      <c r="D99" s="5" t="s">
        <v>1067</v>
      </c>
      <c r="E99" s="6">
        <v>300000000</v>
      </c>
      <c r="F99" s="4">
        <v>55436</v>
      </c>
      <c r="G99" s="4">
        <v>729</v>
      </c>
      <c r="H99" s="4">
        <v>1</v>
      </c>
      <c r="I99" s="4">
        <v>0</v>
      </c>
      <c r="J99" s="4">
        <v>1</v>
      </c>
    </row>
    <row r="100" spans="1:10" x14ac:dyDescent="0.15">
      <c r="A100" s="4">
        <v>17</v>
      </c>
      <c r="B100" s="4">
        <v>99</v>
      </c>
      <c r="C100" s="4">
        <v>9905</v>
      </c>
      <c r="D100" s="5" t="s">
        <v>1068</v>
      </c>
      <c r="E100" s="6">
        <v>168459636</v>
      </c>
      <c r="F100" s="4">
        <v>193000</v>
      </c>
      <c r="G100" s="4">
        <v>1196</v>
      </c>
      <c r="H100" s="4">
        <v>1</v>
      </c>
      <c r="I100" s="4">
        <v>0</v>
      </c>
      <c r="J100" s="4">
        <v>1</v>
      </c>
    </row>
    <row r="101" spans="1:10" x14ac:dyDescent="0.15">
      <c r="A101" s="4">
        <v>6</v>
      </c>
      <c r="B101" s="4">
        <v>100</v>
      </c>
      <c r="C101" s="4">
        <v>9825</v>
      </c>
      <c r="D101" s="5" t="s">
        <v>1069</v>
      </c>
      <c r="E101" s="6">
        <v>92023062</v>
      </c>
      <c r="F101" s="4">
        <v>29000</v>
      </c>
      <c r="G101" s="4">
        <v>437</v>
      </c>
      <c r="H101" s="4">
        <v>0</v>
      </c>
      <c r="I101" s="4">
        <v>0</v>
      </c>
      <c r="J101" s="4">
        <v>0</v>
      </c>
    </row>
    <row r="102" spans="1:10" x14ac:dyDescent="0.15">
      <c r="A102" s="4">
        <v>11</v>
      </c>
      <c r="B102" s="4">
        <v>101</v>
      </c>
      <c r="C102" s="4">
        <v>9784</v>
      </c>
      <c r="D102" s="5" t="s">
        <v>1070</v>
      </c>
      <c r="E102" s="6">
        <v>64186861</v>
      </c>
      <c r="F102" s="4">
        <v>25600</v>
      </c>
      <c r="G102" s="4">
        <v>535</v>
      </c>
      <c r="H102" s="4">
        <v>0</v>
      </c>
      <c r="I102" s="4">
        <v>0</v>
      </c>
      <c r="J102" s="4">
        <v>0</v>
      </c>
    </row>
    <row r="103" spans="1:10" x14ac:dyDescent="0.15">
      <c r="A103" s="4">
        <v>5</v>
      </c>
      <c r="B103" s="4">
        <v>102</v>
      </c>
      <c r="C103" s="4">
        <v>9700</v>
      </c>
      <c r="D103" s="5" t="s">
        <v>1071</v>
      </c>
      <c r="E103" s="6">
        <v>100000000</v>
      </c>
      <c r="F103" s="4">
        <v>35000</v>
      </c>
      <c r="G103" s="4">
        <v>500</v>
      </c>
      <c r="H103" s="4">
        <v>1</v>
      </c>
      <c r="I103" s="4">
        <v>1</v>
      </c>
      <c r="J103" s="4">
        <v>1</v>
      </c>
    </row>
    <row r="104" spans="1:10" x14ac:dyDescent="0.15">
      <c r="A104" s="4">
        <v>3</v>
      </c>
      <c r="B104" s="4">
        <v>103</v>
      </c>
      <c r="C104" s="4">
        <v>9677</v>
      </c>
      <c r="D104" s="5" t="s">
        <v>1072</v>
      </c>
      <c r="E104" s="6">
        <v>136535134</v>
      </c>
      <c r="F104" s="4">
        <v>37900</v>
      </c>
      <c r="G104" s="4">
        <v>1050</v>
      </c>
      <c r="H104" s="4">
        <v>0</v>
      </c>
      <c r="I104" s="4">
        <v>1</v>
      </c>
      <c r="J104" s="4">
        <v>0</v>
      </c>
    </row>
    <row r="105" spans="1:10" x14ac:dyDescent="0.15">
      <c r="A105" s="4">
        <v>13</v>
      </c>
      <c r="B105" s="4">
        <v>104</v>
      </c>
      <c r="C105" s="4">
        <v>9533</v>
      </c>
      <c r="D105" s="5" t="s">
        <v>1073</v>
      </c>
      <c r="E105" s="6">
        <v>97500000</v>
      </c>
      <c r="F105" s="4">
        <v>46000</v>
      </c>
      <c r="G105" s="4">
        <v>325</v>
      </c>
      <c r="H105" s="4">
        <v>1</v>
      </c>
      <c r="I105" s="4">
        <v>1</v>
      </c>
      <c r="J105" s="4">
        <v>1</v>
      </c>
    </row>
    <row r="106" spans="1:10" x14ac:dyDescent="0.15">
      <c r="A106" s="4">
        <v>12</v>
      </c>
      <c r="B106" s="4">
        <v>105</v>
      </c>
      <c r="C106" s="4">
        <v>9513</v>
      </c>
      <c r="D106" s="5" t="s">
        <v>1074</v>
      </c>
      <c r="E106" s="6">
        <v>77100000</v>
      </c>
      <c r="F106" s="4">
        <v>30800</v>
      </c>
      <c r="G106" s="4">
        <v>519</v>
      </c>
      <c r="H106" s="4">
        <v>1</v>
      </c>
      <c r="I106" s="4">
        <v>0</v>
      </c>
      <c r="J106" s="4">
        <v>1</v>
      </c>
    </row>
    <row r="107" spans="1:10" x14ac:dyDescent="0.15">
      <c r="A107" s="4">
        <v>4</v>
      </c>
      <c r="B107" s="4">
        <v>106</v>
      </c>
      <c r="C107" s="4">
        <v>9505</v>
      </c>
      <c r="D107" s="5" t="s">
        <v>1075</v>
      </c>
      <c r="E107" s="6">
        <v>70000000</v>
      </c>
      <c r="F107" s="4">
        <v>8000</v>
      </c>
      <c r="G107" s="4">
        <v>300</v>
      </c>
      <c r="H107" s="4">
        <v>0</v>
      </c>
      <c r="I107" s="4">
        <v>0</v>
      </c>
      <c r="J107" s="4">
        <v>1</v>
      </c>
    </row>
    <row r="108" spans="1:10" x14ac:dyDescent="0.15">
      <c r="A108" s="4">
        <v>3</v>
      </c>
      <c r="B108" s="4">
        <v>107</v>
      </c>
      <c r="C108" s="4">
        <v>9405</v>
      </c>
      <c r="D108" s="5" t="s">
        <v>1076</v>
      </c>
      <c r="E108" s="6">
        <v>67431554</v>
      </c>
      <c r="F108" s="4" t="s">
        <v>63</v>
      </c>
      <c r="G108" s="4">
        <v>146</v>
      </c>
      <c r="H108" s="4">
        <v>0</v>
      </c>
      <c r="I108" s="4">
        <v>0</v>
      </c>
      <c r="J108" s="4">
        <v>0</v>
      </c>
    </row>
    <row r="109" spans="1:10" x14ac:dyDescent="0.15">
      <c r="A109" s="4">
        <v>12</v>
      </c>
      <c r="B109" s="4">
        <v>108</v>
      </c>
      <c r="C109" s="4">
        <v>9382</v>
      </c>
      <c r="D109" s="5" t="s">
        <v>1077</v>
      </c>
      <c r="E109" s="6">
        <v>334800522</v>
      </c>
      <c r="F109" s="4">
        <v>172483</v>
      </c>
      <c r="G109" s="4">
        <v>2281</v>
      </c>
      <c r="H109" s="4">
        <v>0</v>
      </c>
      <c r="I109" s="4">
        <v>0</v>
      </c>
      <c r="J109" s="4">
        <v>0</v>
      </c>
    </row>
    <row r="110" spans="1:10" x14ac:dyDescent="0.15">
      <c r="A110" s="4">
        <v>17</v>
      </c>
      <c r="B110" s="4">
        <v>109</v>
      </c>
      <c r="C110" s="4">
        <v>9357</v>
      </c>
      <c r="D110" s="5" t="s">
        <v>1078</v>
      </c>
      <c r="E110" s="6">
        <v>28019468</v>
      </c>
      <c r="F110" s="4" t="s">
        <v>63</v>
      </c>
      <c r="G110" s="4">
        <v>170</v>
      </c>
      <c r="H110" s="4">
        <v>0</v>
      </c>
      <c r="I110" s="4">
        <v>0</v>
      </c>
      <c r="J110" s="4">
        <v>1</v>
      </c>
    </row>
    <row r="111" spans="1:10" x14ac:dyDescent="0.15">
      <c r="A111" s="4">
        <v>20</v>
      </c>
      <c r="B111" s="4">
        <v>110</v>
      </c>
      <c r="C111" s="4">
        <v>9328</v>
      </c>
      <c r="D111" s="5" t="s">
        <v>1079</v>
      </c>
      <c r="E111" s="6">
        <v>308000000</v>
      </c>
      <c r="F111" s="4">
        <v>28743</v>
      </c>
      <c r="G111" s="4">
        <v>1253</v>
      </c>
      <c r="H111" s="4">
        <v>1</v>
      </c>
      <c r="I111" s="4">
        <v>1</v>
      </c>
      <c r="J111" s="4">
        <v>1</v>
      </c>
    </row>
    <row r="112" spans="1:10" x14ac:dyDescent="0.15">
      <c r="A112" s="4">
        <v>12</v>
      </c>
      <c r="B112" s="4">
        <v>111</v>
      </c>
      <c r="C112" s="4">
        <v>9291</v>
      </c>
      <c r="D112" s="5" t="s">
        <v>1080</v>
      </c>
      <c r="E112" s="6">
        <v>115000000</v>
      </c>
      <c r="F112" s="4">
        <v>35000</v>
      </c>
      <c r="G112" s="4">
        <v>1300</v>
      </c>
      <c r="H112" s="4">
        <v>0</v>
      </c>
      <c r="I112" s="4">
        <v>1</v>
      </c>
      <c r="J112" s="4">
        <v>1</v>
      </c>
    </row>
    <row r="113" spans="1:10" x14ac:dyDescent="0.15">
      <c r="A113" s="4">
        <v>11</v>
      </c>
      <c r="B113" s="4">
        <v>112</v>
      </c>
      <c r="C113" s="4">
        <v>9240</v>
      </c>
      <c r="D113" s="5" t="s">
        <v>1081</v>
      </c>
      <c r="E113" s="6">
        <v>535974304</v>
      </c>
      <c r="F113" s="4">
        <v>55000</v>
      </c>
      <c r="G113" s="4">
        <v>4471</v>
      </c>
      <c r="H113" s="4">
        <v>0</v>
      </c>
      <c r="I113" s="4">
        <v>0</v>
      </c>
      <c r="J113" s="4">
        <v>0</v>
      </c>
    </row>
    <row r="114" spans="1:10" x14ac:dyDescent="0.15">
      <c r="A114" s="4">
        <v>9</v>
      </c>
      <c r="B114" s="4">
        <v>113</v>
      </c>
      <c r="C114" s="4">
        <v>9195</v>
      </c>
      <c r="D114" s="5" t="s">
        <v>1082</v>
      </c>
      <c r="E114" s="6">
        <v>94100000</v>
      </c>
      <c r="F114" s="4">
        <v>29000</v>
      </c>
      <c r="G114" s="4">
        <v>477</v>
      </c>
      <c r="H114" s="4">
        <v>1</v>
      </c>
      <c r="I114" s="4">
        <v>1</v>
      </c>
      <c r="J114" s="4">
        <v>1</v>
      </c>
    </row>
    <row r="115" spans="1:10" x14ac:dyDescent="0.15">
      <c r="A115" s="4">
        <v>18</v>
      </c>
      <c r="B115" s="4">
        <v>114</v>
      </c>
      <c r="C115" s="4">
        <v>9186</v>
      </c>
      <c r="D115" s="5" t="s">
        <v>1083</v>
      </c>
      <c r="E115" s="6">
        <v>626712941</v>
      </c>
      <c r="F115" s="4">
        <v>63594</v>
      </c>
      <c r="G115" s="4">
        <v>2677</v>
      </c>
      <c r="H115" s="4">
        <v>0</v>
      </c>
      <c r="I115" s="4">
        <v>0</v>
      </c>
      <c r="J115" s="4">
        <v>0</v>
      </c>
    </row>
    <row r="116" spans="1:10" x14ac:dyDescent="0.15">
      <c r="A116" s="4">
        <v>6</v>
      </c>
      <c r="B116" s="4">
        <v>115</v>
      </c>
      <c r="C116" s="4">
        <v>9098</v>
      </c>
      <c r="D116" s="5" t="s">
        <v>1084</v>
      </c>
      <c r="E116" s="6">
        <v>89966830</v>
      </c>
      <c r="F116" s="4" t="s">
        <v>63</v>
      </c>
      <c r="G116" s="4">
        <v>428</v>
      </c>
      <c r="H116" s="4">
        <v>0</v>
      </c>
      <c r="I116" s="4">
        <v>0</v>
      </c>
      <c r="J116" s="4">
        <v>0</v>
      </c>
    </row>
    <row r="117" spans="1:10" x14ac:dyDescent="0.15">
      <c r="A117" s="4">
        <v>2</v>
      </c>
      <c r="B117" s="4">
        <v>116</v>
      </c>
      <c r="C117" s="4">
        <v>9038</v>
      </c>
      <c r="D117" s="5" t="s">
        <v>1085</v>
      </c>
      <c r="E117" s="6">
        <v>450000000</v>
      </c>
      <c r="F117" s="4">
        <v>35000</v>
      </c>
      <c r="G117" s="4">
        <v>7500</v>
      </c>
      <c r="H117" s="4">
        <v>0</v>
      </c>
      <c r="I117" s="4">
        <v>1</v>
      </c>
      <c r="J117" s="4">
        <v>1</v>
      </c>
    </row>
    <row r="118" spans="1:10" x14ac:dyDescent="0.15">
      <c r="A118" s="4">
        <v>17</v>
      </c>
      <c r="B118" s="4">
        <v>117</v>
      </c>
      <c r="C118" s="4">
        <v>9003</v>
      </c>
      <c r="D118" s="5" t="s">
        <v>1086</v>
      </c>
      <c r="E118" s="6">
        <v>124622040</v>
      </c>
      <c r="F118" s="4">
        <v>190000</v>
      </c>
      <c r="G118" s="4">
        <v>757</v>
      </c>
      <c r="H118" s="4">
        <v>0</v>
      </c>
      <c r="I118" s="4">
        <v>1</v>
      </c>
      <c r="J118" s="4">
        <v>1</v>
      </c>
    </row>
    <row r="119" spans="1:10" x14ac:dyDescent="0.15">
      <c r="A119" s="4">
        <v>10</v>
      </c>
      <c r="B119" s="4">
        <v>118</v>
      </c>
      <c r="C119" s="4">
        <v>8896</v>
      </c>
      <c r="D119" s="5" t="s">
        <v>1087</v>
      </c>
      <c r="E119" s="6">
        <v>99761206</v>
      </c>
      <c r="F119" s="4">
        <v>60400</v>
      </c>
      <c r="G119" s="4">
        <v>1008</v>
      </c>
      <c r="H119" s="4">
        <v>1</v>
      </c>
      <c r="I119" s="4">
        <v>1</v>
      </c>
      <c r="J119" s="4">
        <v>0</v>
      </c>
    </row>
    <row r="120" spans="1:10" x14ac:dyDescent="0.15">
      <c r="A120" s="4">
        <v>13</v>
      </c>
      <c r="B120" s="4">
        <v>119</v>
      </c>
      <c r="C120" s="4">
        <v>8808</v>
      </c>
      <c r="D120" s="5" t="s">
        <v>1088</v>
      </c>
      <c r="E120" s="6">
        <v>35484922</v>
      </c>
      <c r="F120" s="4" t="s">
        <v>63</v>
      </c>
      <c r="G120" s="4">
        <v>207</v>
      </c>
      <c r="H120" s="4">
        <v>0</v>
      </c>
      <c r="I120" s="4">
        <v>0</v>
      </c>
      <c r="J120" s="4">
        <v>0</v>
      </c>
    </row>
    <row r="121" spans="1:10" x14ac:dyDescent="0.15">
      <c r="A121" s="4">
        <v>12</v>
      </c>
      <c r="B121" s="4">
        <v>120</v>
      </c>
      <c r="C121" s="4">
        <v>8796</v>
      </c>
      <c r="D121" s="5" t="s">
        <v>1089</v>
      </c>
      <c r="E121" s="6">
        <v>56410315</v>
      </c>
      <c r="F121" s="4">
        <v>51300</v>
      </c>
      <c r="G121" s="4">
        <v>384</v>
      </c>
      <c r="H121" s="4">
        <v>0</v>
      </c>
      <c r="I121" s="4">
        <v>0</v>
      </c>
      <c r="J121" s="4">
        <v>0</v>
      </c>
    </row>
    <row r="122" spans="1:10" x14ac:dyDescent="0.15">
      <c r="A122" s="4">
        <v>18</v>
      </c>
      <c r="B122" s="4">
        <v>121</v>
      </c>
      <c r="C122" s="4">
        <v>8791</v>
      </c>
      <c r="D122" s="5" t="s">
        <v>1090</v>
      </c>
      <c r="E122" s="4" t="s">
        <v>63</v>
      </c>
      <c r="F122" s="4" t="s">
        <v>63</v>
      </c>
      <c r="G122" s="4" t="s">
        <v>63</v>
      </c>
      <c r="H122" s="4">
        <v>0</v>
      </c>
      <c r="I122" s="4">
        <v>0</v>
      </c>
      <c r="J122" s="4">
        <v>1</v>
      </c>
    </row>
    <row r="123" spans="1:10" x14ac:dyDescent="0.15">
      <c r="A123" s="4">
        <v>3</v>
      </c>
      <c r="B123" s="4">
        <v>122</v>
      </c>
      <c r="C123" s="4">
        <v>8753</v>
      </c>
      <c r="D123" s="5" t="s">
        <v>1091</v>
      </c>
      <c r="E123" s="4" t="s">
        <v>63</v>
      </c>
      <c r="F123" s="4" t="s">
        <v>63</v>
      </c>
      <c r="G123" s="4" t="s">
        <v>63</v>
      </c>
      <c r="H123" s="4">
        <v>0</v>
      </c>
      <c r="I123" s="4">
        <v>0</v>
      </c>
      <c r="J123" s="4">
        <v>1</v>
      </c>
    </row>
    <row r="124" spans="1:10" x14ac:dyDescent="0.15">
      <c r="A124" s="4">
        <v>3</v>
      </c>
      <c r="B124" s="4">
        <v>123</v>
      </c>
      <c r="C124" s="4">
        <v>8705</v>
      </c>
      <c r="D124" s="5" t="s">
        <v>1092</v>
      </c>
      <c r="E124" s="4" t="s">
        <v>63</v>
      </c>
      <c r="F124" s="4">
        <v>112020</v>
      </c>
      <c r="G124" s="4" t="s">
        <v>63</v>
      </c>
      <c r="H124" s="4">
        <v>0</v>
      </c>
      <c r="I124" s="4">
        <v>0</v>
      </c>
      <c r="J124" s="4">
        <v>1</v>
      </c>
    </row>
    <row r="125" spans="1:10" x14ac:dyDescent="0.15">
      <c r="A125" s="4">
        <v>1</v>
      </c>
      <c r="B125" s="4">
        <v>124</v>
      </c>
      <c r="C125" s="4">
        <v>8665</v>
      </c>
      <c r="D125" s="5" t="s">
        <v>1093</v>
      </c>
      <c r="E125" s="6">
        <v>239950351</v>
      </c>
      <c r="F125" s="4">
        <v>70016</v>
      </c>
      <c r="G125" s="4">
        <v>1808</v>
      </c>
      <c r="H125" s="4">
        <v>0</v>
      </c>
      <c r="I125" s="4">
        <v>0</v>
      </c>
      <c r="J125" s="4">
        <v>0</v>
      </c>
    </row>
    <row r="126" spans="1:10" x14ac:dyDescent="0.15">
      <c r="A126" s="4">
        <v>2</v>
      </c>
      <c r="B126" s="4">
        <v>125</v>
      </c>
      <c r="C126" s="4">
        <v>8648</v>
      </c>
      <c r="D126" s="5" t="s">
        <v>1094</v>
      </c>
      <c r="E126" s="6">
        <v>294837138</v>
      </c>
      <c r="F126" s="4">
        <v>35000</v>
      </c>
      <c r="G126" s="4">
        <v>1357</v>
      </c>
      <c r="H126" s="4">
        <v>0</v>
      </c>
      <c r="I126" s="4">
        <v>0</v>
      </c>
      <c r="J126" s="4">
        <v>0</v>
      </c>
    </row>
    <row r="127" spans="1:10" x14ac:dyDescent="0.15">
      <c r="A127" s="4">
        <v>13</v>
      </c>
      <c r="B127" s="4">
        <v>126</v>
      </c>
      <c r="C127" s="4">
        <v>8600</v>
      </c>
      <c r="D127" s="5" t="s">
        <v>1095</v>
      </c>
      <c r="E127" s="6">
        <v>38027508</v>
      </c>
      <c r="F127" s="4">
        <v>15661</v>
      </c>
      <c r="G127" s="4">
        <v>215</v>
      </c>
      <c r="H127" s="4">
        <v>0</v>
      </c>
      <c r="I127" s="4">
        <v>0</v>
      </c>
      <c r="J127" s="4">
        <v>0</v>
      </c>
    </row>
    <row r="128" spans="1:10" x14ac:dyDescent="0.15">
      <c r="A128" s="4">
        <v>16</v>
      </c>
      <c r="B128" s="4">
        <v>127</v>
      </c>
      <c r="C128" s="4">
        <v>8541</v>
      </c>
      <c r="D128" s="5" t="s">
        <v>1096</v>
      </c>
      <c r="E128" s="4" t="s">
        <v>63</v>
      </c>
      <c r="F128" s="4" t="s">
        <v>63</v>
      </c>
      <c r="G128" s="4" t="s">
        <v>63</v>
      </c>
      <c r="H128" s="4">
        <v>0</v>
      </c>
      <c r="I128" s="4">
        <v>0</v>
      </c>
      <c r="J128" s="4">
        <v>1</v>
      </c>
    </row>
    <row r="129" spans="1:10" x14ac:dyDescent="0.15">
      <c r="A129" s="4">
        <v>17</v>
      </c>
      <c r="B129" s="4">
        <v>128</v>
      </c>
      <c r="C129" s="4">
        <v>8448</v>
      </c>
      <c r="D129" s="5" t="s">
        <v>1097</v>
      </c>
      <c r="E129" s="6">
        <v>32640000</v>
      </c>
      <c r="F129" s="4">
        <v>78000</v>
      </c>
      <c r="G129" s="4">
        <v>253</v>
      </c>
      <c r="H129" s="4">
        <v>0</v>
      </c>
      <c r="I129" s="4">
        <v>0</v>
      </c>
      <c r="J129" s="4">
        <v>1</v>
      </c>
    </row>
    <row r="130" spans="1:10" x14ac:dyDescent="0.15">
      <c r="A130" s="4">
        <v>7</v>
      </c>
      <c r="B130" s="4">
        <v>129</v>
      </c>
      <c r="C130" s="4">
        <v>8397</v>
      </c>
      <c r="D130" s="5" t="s">
        <v>1098</v>
      </c>
      <c r="E130" s="6">
        <v>360515429</v>
      </c>
      <c r="F130" s="4">
        <v>117000</v>
      </c>
      <c r="G130" s="4">
        <v>2112</v>
      </c>
      <c r="H130" s="4">
        <v>1</v>
      </c>
      <c r="I130" s="4">
        <v>0</v>
      </c>
      <c r="J130" s="4">
        <v>0</v>
      </c>
    </row>
    <row r="131" spans="1:10" x14ac:dyDescent="0.15">
      <c r="A131" s="4">
        <v>8</v>
      </c>
      <c r="B131" s="4">
        <v>130</v>
      </c>
      <c r="C131" s="4">
        <v>8372</v>
      </c>
      <c r="D131" s="5" t="s">
        <v>1099</v>
      </c>
      <c r="E131" s="6">
        <v>925000000</v>
      </c>
      <c r="F131" s="4">
        <v>44000</v>
      </c>
      <c r="G131" s="4">
        <v>3400</v>
      </c>
      <c r="H131" s="4">
        <v>1</v>
      </c>
      <c r="I131" s="4">
        <v>1</v>
      </c>
      <c r="J131" s="4">
        <v>1</v>
      </c>
    </row>
    <row r="132" spans="1:10" x14ac:dyDescent="0.15">
      <c r="A132" s="4">
        <v>7</v>
      </c>
      <c r="B132" s="4">
        <v>131</v>
      </c>
      <c r="C132" s="4">
        <v>8340</v>
      </c>
      <c r="D132" s="5" t="s">
        <v>1100</v>
      </c>
      <c r="E132" s="6">
        <v>154415987</v>
      </c>
      <c r="F132" s="4">
        <v>25100</v>
      </c>
      <c r="G132" s="4">
        <v>904</v>
      </c>
      <c r="H132" s="4">
        <v>0</v>
      </c>
      <c r="I132" s="4">
        <v>1</v>
      </c>
      <c r="J132" s="4">
        <v>0</v>
      </c>
    </row>
    <row r="133" spans="1:10" x14ac:dyDescent="0.15">
      <c r="A133" s="4">
        <v>18</v>
      </c>
      <c r="B133" s="4">
        <v>132</v>
      </c>
      <c r="C133" s="4">
        <v>8302</v>
      </c>
      <c r="D133" s="5" t="s">
        <v>1101</v>
      </c>
      <c r="E133" s="6">
        <v>839855170</v>
      </c>
      <c r="F133" s="4">
        <v>92100</v>
      </c>
      <c r="G133" s="4">
        <v>3587</v>
      </c>
      <c r="H133" s="4">
        <v>0</v>
      </c>
      <c r="I133" s="4">
        <v>0</v>
      </c>
      <c r="J133" s="4">
        <v>0</v>
      </c>
    </row>
    <row r="134" spans="1:10" x14ac:dyDescent="0.15">
      <c r="A134" s="4">
        <v>17</v>
      </c>
      <c r="B134" s="4">
        <v>133</v>
      </c>
      <c r="C134" s="4">
        <v>8252</v>
      </c>
      <c r="D134" s="5" t="s">
        <v>1102</v>
      </c>
      <c r="E134" s="6">
        <v>23069109</v>
      </c>
      <c r="F134" s="4">
        <v>60000</v>
      </c>
      <c r="G134" s="4">
        <v>140</v>
      </c>
      <c r="H134" s="4">
        <v>0</v>
      </c>
      <c r="I134" s="4">
        <v>0</v>
      </c>
      <c r="J134" s="4">
        <v>1</v>
      </c>
    </row>
    <row r="135" spans="1:10" x14ac:dyDescent="0.15">
      <c r="A135" s="4">
        <v>19</v>
      </c>
      <c r="B135" s="4">
        <v>134</v>
      </c>
      <c r="C135" s="4">
        <v>8092</v>
      </c>
      <c r="D135" s="5" t="s">
        <v>1103</v>
      </c>
      <c r="E135" s="6">
        <v>54976840</v>
      </c>
      <c r="F135" s="4">
        <v>2729</v>
      </c>
      <c r="G135" s="4">
        <v>360</v>
      </c>
      <c r="H135" s="4">
        <v>0</v>
      </c>
      <c r="I135" s="4">
        <v>0</v>
      </c>
      <c r="J135" s="4">
        <v>0</v>
      </c>
    </row>
    <row r="136" spans="1:10" x14ac:dyDescent="0.15">
      <c r="A136" s="4">
        <v>12</v>
      </c>
      <c r="B136" s="4">
        <v>135</v>
      </c>
      <c r="C136" s="4">
        <v>8006</v>
      </c>
      <c r="D136" s="5" t="s">
        <v>1104</v>
      </c>
      <c r="E136" s="6">
        <v>30320832</v>
      </c>
      <c r="F136" s="4">
        <v>30600</v>
      </c>
      <c r="G136" s="4">
        <v>243</v>
      </c>
      <c r="H136" s="4">
        <v>0</v>
      </c>
      <c r="I136" s="4">
        <v>0</v>
      </c>
      <c r="J136" s="4">
        <v>0</v>
      </c>
    </row>
    <row r="137" spans="1:10" x14ac:dyDescent="0.15">
      <c r="A137" s="4">
        <v>12</v>
      </c>
      <c r="B137" s="4">
        <v>136</v>
      </c>
      <c r="C137" s="4">
        <v>7941</v>
      </c>
      <c r="D137" s="5" t="s">
        <v>1105</v>
      </c>
      <c r="E137" s="6">
        <v>418204916</v>
      </c>
      <c r="F137" s="4">
        <v>110400</v>
      </c>
      <c r="G137" s="4">
        <v>2007</v>
      </c>
      <c r="H137" s="4">
        <v>0</v>
      </c>
      <c r="I137" s="4">
        <v>1</v>
      </c>
      <c r="J137" s="4">
        <v>0</v>
      </c>
    </row>
    <row r="138" spans="1:10" x14ac:dyDescent="0.15">
      <c r="A138" s="4">
        <v>12</v>
      </c>
      <c r="B138" s="4">
        <v>137</v>
      </c>
      <c r="C138" s="4">
        <v>7935</v>
      </c>
      <c r="D138" s="5" t="s">
        <v>1106</v>
      </c>
      <c r="E138" s="6">
        <v>40000000</v>
      </c>
      <c r="F138" s="4">
        <v>28000</v>
      </c>
      <c r="G138" s="4">
        <v>130</v>
      </c>
      <c r="H138" s="4">
        <v>0</v>
      </c>
      <c r="I138" s="4">
        <v>0</v>
      </c>
      <c r="J138" s="4">
        <v>1</v>
      </c>
    </row>
    <row r="139" spans="1:10" x14ac:dyDescent="0.15">
      <c r="A139" s="4">
        <v>12</v>
      </c>
      <c r="B139" s="4">
        <v>138</v>
      </c>
      <c r="C139" s="4">
        <v>7928</v>
      </c>
      <c r="D139" s="5" t="s">
        <v>1107</v>
      </c>
      <c r="E139" s="6">
        <v>18000000</v>
      </c>
      <c r="F139" s="4">
        <v>21000</v>
      </c>
      <c r="G139" s="4">
        <v>400</v>
      </c>
      <c r="H139" s="4">
        <v>0</v>
      </c>
      <c r="I139" s="4">
        <v>0</v>
      </c>
      <c r="J139" s="4">
        <v>1</v>
      </c>
    </row>
    <row r="140" spans="1:10" x14ac:dyDescent="0.15">
      <c r="A140" s="4">
        <v>3</v>
      </c>
      <c r="B140" s="4">
        <v>139</v>
      </c>
      <c r="C140" s="4">
        <v>7839</v>
      </c>
      <c r="D140" s="5" t="s">
        <v>1108</v>
      </c>
      <c r="E140" s="6">
        <v>30000000</v>
      </c>
      <c r="F140" s="4">
        <v>12438</v>
      </c>
      <c r="G140" s="4">
        <v>242</v>
      </c>
      <c r="H140" s="4">
        <v>0</v>
      </c>
      <c r="I140" s="4">
        <v>0</v>
      </c>
      <c r="J140" s="4">
        <v>1</v>
      </c>
    </row>
    <row r="141" spans="1:10" x14ac:dyDescent="0.15">
      <c r="A141" s="4">
        <v>13</v>
      </c>
      <c r="B141" s="4">
        <v>140</v>
      </c>
      <c r="C141" s="4">
        <v>7836</v>
      </c>
      <c r="D141" s="5" t="s">
        <v>1109</v>
      </c>
      <c r="E141" s="6">
        <v>73272852</v>
      </c>
      <c r="F141" s="4">
        <v>19000</v>
      </c>
      <c r="G141" s="4">
        <v>415</v>
      </c>
      <c r="H141" s="4">
        <v>0</v>
      </c>
      <c r="I141" s="4">
        <v>0</v>
      </c>
      <c r="J141" s="4">
        <v>0</v>
      </c>
    </row>
    <row r="142" spans="1:10" x14ac:dyDescent="0.15">
      <c r="A142" s="4">
        <v>7</v>
      </c>
      <c r="B142" s="4">
        <v>141</v>
      </c>
      <c r="C142" s="4">
        <v>7835</v>
      </c>
      <c r="D142" s="5" t="s">
        <v>1110</v>
      </c>
      <c r="E142" s="6">
        <v>89000000</v>
      </c>
      <c r="F142" s="4">
        <v>13000</v>
      </c>
      <c r="G142" s="4">
        <v>400</v>
      </c>
      <c r="H142" s="4">
        <v>0</v>
      </c>
      <c r="I142" s="4">
        <v>0</v>
      </c>
      <c r="J142" s="4">
        <v>1</v>
      </c>
    </row>
    <row r="143" spans="1:10" x14ac:dyDescent="0.15">
      <c r="A143" s="4">
        <v>18</v>
      </c>
      <c r="B143" s="4">
        <v>142</v>
      </c>
      <c r="C143" s="4">
        <v>7812</v>
      </c>
      <c r="D143" s="5" t="s">
        <v>1111</v>
      </c>
      <c r="E143" s="6">
        <v>147678897</v>
      </c>
      <c r="F143" s="4">
        <v>16333</v>
      </c>
      <c r="G143" s="4">
        <v>631</v>
      </c>
      <c r="H143" s="4">
        <v>0</v>
      </c>
      <c r="I143" s="4">
        <v>0</v>
      </c>
      <c r="J143" s="4">
        <v>0</v>
      </c>
    </row>
    <row r="144" spans="1:10" x14ac:dyDescent="0.15">
      <c r="A144" s="4">
        <v>13</v>
      </c>
      <c r="B144" s="4">
        <v>143</v>
      </c>
      <c r="C144" s="4">
        <v>7786</v>
      </c>
      <c r="D144" s="5" t="s">
        <v>1112</v>
      </c>
      <c r="E144" s="6">
        <v>28799536</v>
      </c>
      <c r="F144" s="4">
        <v>10006</v>
      </c>
      <c r="G144" s="4">
        <v>500</v>
      </c>
      <c r="H144" s="4">
        <v>0</v>
      </c>
      <c r="I144" s="4">
        <v>0</v>
      </c>
      <c r="J144" s="4">
        <v>0</v>
      </c>
    </row>
    <row r="145" spans="1:10" x14ac:dyDescent="0.15">
      <c r="A145" s="4">
        <v>7</v>
      </c>
      <c r="B145" s="4">
        <v>144</v>
      </c>
      <c r="C145" s="4">
        <v>7740</v>
      </c>
      <c r="D145" s="5" t="s">
        <v>1113</v>
      </c>
      <c r="E145" s="6">
        <v>53558614</v>
      </c>
      <c r="F145" s="4">
        <v>57200</v>
      </c>
      <c r="G145" s="4">
        <v>314</v>
      </c>
      <c r="H145" s="4">
        <v>0</v>
      </c>
      <c r="I145" s="4">
        <v>0</v>
      </c>
      <c r="J145" s="4">
        <v>0</v>
      </c>
    </row>
    <row r="146" spans="1:10" x14ac:dyDescent="0.15">
      <c r="A146" s="4">
        <v>14</v>
      </c>
      <c r="B146" s="4">
        <v>145</v>
      </c>
      <c r="C146" s="4">
        <v>7702</v>
      </c>
      <c r="D146" s="5" t="s">
        <v>1114</v>
      </c>
      <c r="E146" s="6">
        <v>23893334</v>
      </c>
      <c r="F146" s="4">
        <v>2000</v>
      </c>
      <c r="G146" s="4">
        <v>125</v>
      </c>
      <c r="H146" s="4">
        <v>0</v>
      </c>
      <c r="I146" s="4">
        <v>0</v>
      </c>
      <c r="J146" s="4">
        <v>0</v>
      </c>
    </row>
    <row r="147" spans="1:10" x14ac:dyDescent="0.15">
      <c r="A147" s="4">
        <v>7</v>
      </c>
      <c r="B147" s="4">
        <v>146</v>
      </c>
      <c r="C147" s="4">
        <v>7672</v>
      </c>
      <c r="D147" s="5" t="s">
        <v>1115</v>
      </c>
      <c r="E147" s="6">
        <v>78000000</v>
      </c>
      <c r="F147" s="4">
        <v>24000</v>
      </c>
      <c r="G147" s="4">
        <v>500</v>
      </c>
      <c r="H147" s="4">
        <v>0</v>
      </c>
      <c r="I147" s="4">
        <v>1</v>
      </c>
      <c r="J147" s="4">
        <v>1</v>
      </c>
    </row>
    <row r="148" spans="1:10" x14ac:dyDescent="0.15">
      <c r="A148" s="4">
        <v>12</v>
      </c>
      <c r="B148" s="4">
        <v>147</v>
      </c>
      <c r="C148" s="4">
        <v>7634</v>
      </c>
      <c r="D148" s="5" t="s">
        <v>1116</v>
      </c>
      <c r="E148" s="6">
        <v>27763268</v>
      </c>
      <c r="F148" s="4">
        <v>13416</v>
      </c>
      <c r="G148" s="4">
        <v>189</v>
      </c>
      <c r="H148" s="4">
        <v>0</v>
      </c>
      <c r="I148" s="4">
        <v>0</v>
      </c>
      <c r="J148" s="4">
        <v>0</v>
      </c>
    </row>
    <row r="149" spans="1:10" x14ac:dyDescent="0.15">
      <c r="A149" s="4">
        <v>6</v>
      </c>
      <c r="B149" s="4">
        <v>148</v>
      </c>
      <c r="C149" s="4">
        <v>7627</v>
      </c>
      <c r="D149" s="5" t="s">
        <v>1117</v>
      </c>
      <c r="E149" s="6">
        <v>400000000</v>
      </c>
      <c r="F149" s="4">
        <v>56000</v>
      </c>
      <c r="G149" s="4">
        <v>2100</v>
      </c>
      <c r="H149" s="4">
        <v>1</v>
      </c>
      <c r="I149" s="4">
        <v>1</v>
      </c>
      <c r="J149" s="4">
        <v>1</v>
      </c>
    </row>
    <row r="150" spans="1:10" x14ac:dyDescent="0.15">
      <c r="A150" s="4">
        <v>11</v>
      </c>
      <c r="B150" s="4">
        <v>149</v>
      </c>
      <c r="C150" s="4">
        <v>7605</v>
      </c>
      <c r="D150" s="5" t="s">
        <v>1118</v>
      </c>
      <c r="E150" s="6">
        <v>457118830</v>
      </c>
      <c r="F150" s="4">
        <v>27000</v>
      </c>
      <c r="G150" s="4">
        <v>3813</v>
      </c>
      <c r="H150" s="4">
        <v>0</v>
      </c>
      <c r="I150" s="4">
        <v>0</v>
      </c>
      <c r="J150" s="4">
        <v>0</v>
      </c>
    </row>
    <row r="151" spans="1:10" x14ac:dyDescent="0.15">
      <c r="A151" s="4">
        <v>2</v>
      </c>
      <c r="B151" s="4">
        <v>150</v>
      </c>
      <c r="C151" s="4">
        <v>7577</v>
      </c>
      <c r="D151" s="5" t="s">
        <v>1119</v>
      </c>
      <c r="E151" s="6">
        <v>139012766</v>
      </c>
      <c r="F151" s="4">
        <v>27000</v>
      </c>
      <c r="G151" s="4">
        <v>832</v>
      </c>
      <c r="H151" s="4">
        <v>0</v>
      </c>
      <c r="I151" s="4">
        <v>0</v>
      </c>
      <c r="J151" s="4">
        <v>0</v>
      </c>
    </row>
    <row r="152" spans="1:10" x14ac:dyDescent="0.15">
      <c r="A152" s="4">
        <v>14</v>
      </c>
      <c r="B152" s="4">
        <v>151</v>
      </c>
      <c r="C152" s="4">
        <v>7558</v>
      </c>
      <c r="D152" s="5" t="s">
        <v>1120</v>
      </c>
      <c r="E152" s="6">
        <v>37068012</v>
      </c>
      <c r="F152" s="4">
        <v>16100</v>
      </c>
      <c r="G152" s="4">
        <v>255</v>
      </c>
      <c r="H152" s="4">
        <v>0</v>
      </c>
      <c r="I152" s="4">
        <v>0</v>
      </c>
      <c r="J152" s="4">
        <v>0</v>
      </c>
    </row>
    <row r="153" spans="1:10" x14ac:dyDescent="0.15">
      <c r="A153" s="4">
        <v>8</v>
      </c>
      <c r="B153" s="4">
        <v>152</v>
      </c>
      <c r="C153" s="4">
        <v>7504</v>
      </c>
      <c r="D153" s="5" t="s">
        <v>1121</v>
      </c>
      <c r="E153" s="6">
        <v>941930731</v>
      </c>
      <c r="F153" s="4">
        <v>72412</v>
      </c>
      <c r="G153" s="4">
        <v>3015</v>
      </c>
      <c r="H153" s="4">
        <v>0</v>
      </c>
      <c r="I153" s="4">
        <v>0</v>
      </c>
      <c r="J153" s="4">
        <v>0</v>
      </c>
    </row>
    <row r="154" spans="1:10" x14ac:dyDescent="0.15">
      <c r="A154" s="4">
        <v>13</v>
      </c>
      <c r="B154" s="4">
        <v>153</v>
      </c>
      <c r="C154" s="4">
        <v>7470</v>
      </c>
      <c r="D154" s="5" t="s">
        <v>1122</v>
      </c>
      <c r="E154" s="6">
        <v>31678113</v>
      </c>
      <c r="F154" s="4">
        <v>15000</v>
      </c>
      <c r="G154" s="4">
        <v>179</v>
      </c>
      <c r="H154" s="4">
        <v>0</v>
      </c>
      <c r="I154" s="4">
        <v>0</v>
      </c>
      <c r="J154" s="4">
        <v>0</v>
      </c>
    </row>
    <row r="155" spans="1:10" x14ac:dyDescent="0.15">
      <c r="A155" s="4">
        <v>14</v>
      </c>
      <c r="B155" s="4">
        <v>154</v>
      </c>
      <c r="C155" s="4">
        <v>7451</v>
      </c>
      <c r="D155" s="5" t="s">
        <v>1123</v>
      </c>
      <c r="E155" s="6">
        <v>40000000</v>
      </c>
      <c r="F155" s="4">
        <v>21000</v>
      </c>
      <c r="G155" s="4">
        <v>300</v>
      </c>
      <c r="H155" s="4">
        <v>0</v>
      </c>
      <c r="I155" s="4">
        <v>0</v>
      </c>
      <c r="J155" s="4">
        <v>1</v>
      </c>
    </row>
    <row r="156" spans="1:10" x14ac:dyDescent="0.15">
      <c r="A156" s="4">
        <v>12</v>
      </c>
      <c r="B156" s="4">
        <v>155</v>
      </c>
      <c r="C156" s="4">
        <v>7401</v>
      </c>
      <c r="D156" s="5" t="s">
        <v>1124</v>
      </c>
      <c r="E156" s="6">
        <v>59806549</v>
      </c>
      <c r="F156" s="4">
        <v>23600</v>
      </c>
      <c r="G156" s="4">
        <v>408</v>
      </c>
      <c r="H156" s="4">
        <v>0</v>
      </c>
      <c r="I156" s="4">
        <v>0</v>
      </c>
      <c r="J156" s="4">
        <v>0</v>
      </c>
    </row>
    <row r="157" spans="1:10" x14ac:dyDescent="0.15">
      <c r="A157" s="4">
        <v>2</v>
      </c>
      <c r="B157" s="4">
        <v>156</v>
      </c>
      <c r="C157" s="4">
        <v>7367</v>
      </c>
      <c r="D157" s="5" t="s">
        <v>1125</v>
      </c>
      <c r="E157" s="6">
        <v>283628460</v>
      </c>
      <c r="F157" s="4">
        <v>17630</v>
      </c>
      <c r="G157" s="4">
        <v>1547</v>
      </c>
      <c r="H157" s="4">
        <v>0</v>
      </c>
      <c r="I157" s="4">
        <v>0</v>
      </c>
      <c r="J157" s="4">
        <v>0</v>
      </c>
    </row>
    <row r="158" spans="1:10" x14ac:dyDescent="0.15">
      <c r="A158" s="4">
        <v>12</v>
      </c>
      <c r="B158" s="4">
        <v>157</v>
      </c>
      <c r="C158" s="4">
        <v>7355</v>
      </c>
      <c r="D158" s="5" t="s">
        <v>1126</v>
      </c>
      <c r="E158" s="6">
        <v>375000000</v>
      </c>
      <c r="F158" s="4">
        <v>50443</v>
      </c>
      <c r="G158" s="4">
        <v>2600</v>
      </c>
      <c r="H158" s="4">
        <v>0</v>
      </c>
      <c r="I158" s="4">
        <v>0</v>
      </c>
      <c r="J158" s="4">
        <v>1</v>
      </c>
    </row>
    <row r="159" spans="1:10" x14ac:dyDescent="0.15">
      <c r="A159" s="4">
        <v>5</v>
      </c>
      <c r="B159" s="4">
        <v>158</v>
      </c>
      <c r="C159" s="4">
        <v>7344</v>
      </c>
      <c r="D159" s="5" t="s">
        <v>1127</v>
      </c>
      <c r="E159" s="6">
        <v>158626443</v>
      </c>
      <c r="F159" s="4">
        <v>34820</v>
      </c>
      <c r="G159" s="4">
        <v>1190</v>
      </c>
      <c r="H159" s="4">
        <v>1</v>
      </c>
      <c r="I159" s="4">
        <v>0</v>
      </c>
      <c r="J159" s="4">
        <v>0</v>
      </c>
    </row>
    <row r="160" spans="1:10" x14ac:dyDescent="0.15">
      <c r="A160" s="4">
        <v>20</v>
      </c>
      <c r="B160" s="4">
        <v>159</v>
      </c>
      <c r="C160" s="4">
        <v>7344</v>
      </c>
      <c r="D160" s="5" t="s">
        <v>1128</v>
      </c>
      <c r="E160" s="6">
        <v>220000000</v>
      </c>
      <c r="F160" s="4">
        <v>19900</v>
      </c>
      <c r="G160" s="4">
        <v>1100</v>
      </c>
      <c r="H160" s="4">
        <v>1</v>
      </c>
      <c r="I160" s="4">
        <v>1</v>
      </c>
      <c r="J160" s="4">
        <v>1</v>
      </c>
    </row>
    <row r="161" spans="1:10" x14ac:dyDescent="0.15">
      <c r="A161" s="4">
        <v>2</v>
      </c>
      <c r="B161" s="4">
        <v>160</v>
      </c>
      <c r="C161" s="4">
        <v>7341</v>
      </c>
      <c r="D161" s="5" t="s">
        <v>1129</v>
      </c>
      <c r="E161" s="6">
        <v>104000000</v>
      </c>
      <c r="F161" s="4">
        <v>18000</v>
      </c>
      <c r="G161" s="4">
        <v>650</v>
      </c>
      <c r="H161" s="4">
        <v>0</v>
      </c>
      <c r="I161" s="4">
        <v>0</v>
      </c>
      <c r="J161" s="4">
        <v>1</v>
      </c>
    </row>
    <row r="162" spans="1:10" x14ac:dyDescent="0.15">
      <c r="A162" s="4">
        <v>14</v>
      </c>
      <c r="B162" s="4">
        <v>161</v>
      </c>
      <c r="C162" s="4">
        <v>7321</v>
      </c>
      <c r="D162" s="5" t="s">
        <v>1130</v>
      </c>
      <c r="E162" s="6">
        <v>13400000</v>
      </c>
      <c r="F162" s="4">
        <v>17448</v>
      </c>
      <c r="G162" s="4">
        <v>65</v>
      </c>
      <c r="H162" s="4">
        <v>1</v>
      </c>
      <c r="I162" s="4">
        <v>1</v>
      </c>
      <c r="J162" s="4">
        <v>1</v>
      </c>
    </row>
    <row r="163" spans="1:10" x14ac:dyDescent="0.15">
      <c r="A163" s="4">
        <v>11</v>
      </c>
      <c r="B163" s="4">
        <v>162</v>
      </c>
      <c r="C163" s="4">
        <v>7310</v>
      </c>
      <c r="D163" s="5" t="s">
        <v>1131</v>
      </c>
      <c r="E163" s="6">
        <v>58000000</v>
      </c>
      <c r="F163" s="4">
        <v>35000</v>
      </c>
      <c r="G163" s="4">
        <v>1500</v>
      </c>
      <c r="H163" s="4">
        <v>0</v>
      </c>
      <c r="I163" s="4">
        <v>0</v>
      </c>
      <c r="J163" s="4">
        <v>1</v>
      </c>
    </row>
    <row r="164" spans="1:10" x14ac:dyDescent="0.15">
      <c r="A164" s="4">
        <v>6</v>
      </c>
      <c r="B164" s="4">
        <v>163</v>
      </c>
      <c r="C164" s="4">
        <v>7290</v>
      </c>
      <c r="D164" s="5" t="s">
        <v>1132</v>
      </c>
      <c r="E164" s="6">
        <v>35596849</v>
      </c>
      <c r="F164" s="4">
        <v>32000</v>
      </c>
      <c r="G164" s="4">
        <v>169</v>
      </c>
      <c r="H164" s="4">
        <v>0</v>
      </c>
      <c r="I164" s="4">
        <v>1</v>
      </c>
      <c r="J164" s="4">
        <v>0</v>
      </c>
    </row>
    <row r="165" spans="1:10" x14ac:dyDescent="0.15">
      <c r="A165" s="4">
        <v>2</v>
      </c>
      <c r="B165" s="4">
        <v>164</v>
      </c>
      <c r="C165" s="4">
        <v>7237</v>
      </c>
      <c r="D165" s="5" t="s">
        <v>1133</v>
      </c>
      <c r="E165" s="6">
        <v>105000000</v>
      </c>
      <c r="F165" s="4">
        <v>20000</v>
      </c>
      <c r="G165" s="4">
        <v>600</v>
      </c>
      <c r="H165" s="4">
        <v>0</v>
      </c>
      <c r="I165" s="4">
        <v>0</v>
      </c>
      <c r="J165" s="4">
        <v>1</v>
      </c>
    </row>
    <row r="166" spans="1:10" x14ac:dyDescent="0.15">
      <c r="A166" s="4">
        <v>9</v>
      </c>
      <c r="B166" s="4">
        <v>165</v>
      </c>
      <c r="C166" s="4">
        <v>7198</v>
      </c>
      <c r="D166" s="5" t="s">
        <v>1134</v>
      </c>
      <c r="E166" s="6">
        <v>71000000</v>
      </c>
      <c r="F166" s="4">
        <v>23300</v>
      </c>
      <c r="G166" s="4">
        <v>560</v>
      </c>
      <c r="H166" s="4">
        <v>0</v>
      </c>
      <c r="I166" s="4">
        <v>0</v>
      </c>
      <c r="J166" s="4">
        <v>1</v>
      </c>
    </row>
    <row r="167" spans="1:10" x14ac:dyDescent="0.15">
      <c r="A167" s="4">
        <v>7</v>
      </c>
      <c r="B167" s="4">
        <v>166</v>
      </c>
      <c r="C167" s="4">
        <v>7155</v>
      </c>
      <c r="D167" s="5" t="s">
        <v>1135</v>
      </c>
      <c r="E167" s="6">
        <v>93000000</v>
      </c>
      <c r="F167" s="4">
        <v>31000</v>
      </c>
      <c r="G167" s="4">
        <v>500</v>
      </c>
      <c r="H167" s="4">
        <v>0</v>
      </c>
      <c r="I167" s="4">
        <v>0</v>
      </c>
      <c r="J167" s="4">
        <v>1</v>
      </c>
    </row>
    <row r="168" spans="1:10" x14ac:dyDescent="0.15">
      <c r="A168" s="4">
        <v>12</v>
      </c>
      <c r="B168" s="4">
        <v>167</v>
      </c>
      <c r="C168" s="4">
        <v>7086</v>
      </c>
      <c r="D168" s="5" t="s">
        <v>1136</v>
      </c>
      <c r="E168" s="6">
        <v>52769587</v>
      </c>
      <c r="F168" s="4">
        <v>91754</v>
      </c>
      <c r="G168" s="4">
        <v>1319</v>
      </c>
      <c r="H168" s="4">
        <v>0</v>
      </c>
      <c r="I168" s="4">
        <v>0</v>
      </c>
      <c r="J168" s="4">
        <v>0</v>
      </c>
    </row>
    <row r="169" spans="1:10" x14ac:dyDescent="0.15">
      <c r="A169" s="4">
        <v>7</v>
      </c>
      <c r="B169" s="4">
        <v>168</v>
      </c>
      <c r="C169" s="4">
        <v>7064</v>
      </c>
      <c r="D169" s="5" t="s">
        <v>1137</v>
      </c>
      <c r="E169" s="6">
        <v>44400000</v>
      </c>
      <c r="F169" s="4">
        <v>16300</v>
      </c>
      <c r="G169" s="4">
        <v>390</v>
      </c>
      <c r="H169" s="4">
        <v>0</v>
      </c>
      <c r="I169" s="4">
        <v>0</v>
      </c>
      <c r="J169" s="4">
        <v>1</v>
      </c>
    </row>
    <row r="170" spans="1:10" x14ac:dyDescent="0.15">
      <c r="A170" s="4">
        <v>15</v>
      </c>
      <c r="B170" s="4">
        <v>169</v>
      </c>
      <c r="C170" s="4">
        <v>7036</v>
      </c>
      <c r="D170" s="5" t="s">
        <v>1138</v>
      </c>
      <c r="E170" s="6">
        <v>366000000</v>
      </c>
      <c r="F170" s="4">
        <v>49500</v>
      </c>
      <c r="G170" s="4">
        <v>1452</v>
      </c>
      <c r="H170" s="4">
        <v>0</v>
      </c>
      <c r="I170" s="4">
        <v>0</v>
      </c>
      <c r="J170" s="4">
        <v>1</v>
      </c>
    </row>
    <row r="171" spans="1:10" x14ac:dyDescent="0.15">
      <c r="A171" s="4">
        <v>11</v>
      </c>
      <c r="B171" s="4">
        <v>170</v>
      </c>
      <c r="C171" s="4">
        <v>7017</v>
      </c>
      <c r="D171" s="5" t="s">
        <v>1139</v>
      </c>
      <c r="E171" s="6">
        <v>345039414</v>
      </c>
      <c r="F171" s="4">
        <v>65000</v>
      </c>
      <c r="G171" s="4">
        <v>2878</v>
      </c>
      <c r="H171" s="4">
        <v>0</v>
      </c>
      <c r="I171" s="4">
        <v>0</v>
      </c>
      <c r="J171" s="4">
        <v>0</v>
      </c>
    </row>
    <row r="172" spans="1:10" x14ac:dyDescent="0.15">
      <c r="A172" s="4">
        <v>14</v>
      </c>
      <c r="B172" s="4">
        <v>171</v>
      </c>
      <c r="C172" s="4">
        <v>6997</v>
      </c>
      <c r="D172" s="5" t="s">
        <v>1140</v>
      </c>
      <c r="E172" s="6">
        <v>633926</v>
      </c>
      <c r="F172" s="4">
        <v>14000</v>
      </c>
      <c r="G172" s="4" t="s">
        <v>63</v>
      </c>
      <c r="H172" s="4">
        <v>0</v>
      </c>
      <c r="I172" s="4">
        <v>0</v>
      </c>
      <c r="J172" s="4">
        <v>0</v>
      </c>
    </row>
    <row r="173" spans="1:10" x14ac:dyDescent="0.15">
      <c r="A173" s="4">
        <v>12</v>
      </c>
      <c r="B173" s="4">
        <v>172</v>
      </c>
      <c r="C173" s="4">
        <v>6929</v>
      </c>
      <c r="D173" s="5" t="s">
        <v>1141</v>
      </c>
      <c r="E173" s="6">
        <v>38949378</v>
      </c>
      <c r="F173" s="4">
        <v>22992</v>
      </c>
      <c r="G173" s="4">
        <v>265</v>
      </c>
      <c r="H173" s="4">
        <v>0</v>
      </c>
      <c r="I173" s="4">
        <v>0</v>
      </c>
      <c r="J173" s="4">
        <v>0</v>
      </c>
    </row>
    <row r="174" spans="1:10" x14ac:dyDescent="0.15">
      <c r="A174" s="4">
        <v>20</v>
      </c>
      <c r="B174" s="4">
        <v>173</v>
      </c>
      <c r="C174" s="4">
        <v>6818</v>
      </c>
      <c r="D174" s="5" t="s">
        <v>1142</v>
      </c>
      <c r="E174" s="6">
        <v>181000000</v>
      </c>
      <c r="F174" s="4" t="s">
        <v>63</v>
      </c>
      <c r="G174" s="4">
        <v>450</v>
      </c>
      <c r="H174" s="4">
        <v>0</v>
      </c>
      <c r="I174" s="4">
        <v>0</v>
      </c>
      <c r="J174" s="4">
        <v>1</v>
      </c>
    </row>
    <row r="175" spans="1:10" x14ac:dyDescent="0.15">
      <c r="A175" s="4">
        <v>9</v>
      </c>
      <c r="B175" s="4">
        <v>174</v>
      </c>
      <c r="C175" s="4">
        <v>6788</v>
      </c>
      <c r="D175" s="5" t="s">
        <v>1143</v>
      </c>
      <c r="E175" s="6">
        <v>25079499</v>
      </c>
      <c r="F175" s="4">
        <v>41800</v>
      </c>
      <c r="G175" s="4">
        <v>200</v>
      </c>
      <c r="H175" s="4">
        <v>0</v>
      </c>
      <c r="I175" s="4">
        <v>0</v>
      </c>
      <c r="J175" s="4">
        <v>0</v>
      </c>
    </row>
    <row r="176" spans="1:10" x14ac:dyDescent="0.15">
      <c r="A176" s="4">
        <v>17</v>
      </c>
      <c r="B176" s="4">
        <v>175</v>
      </c>
      <c r="C176" s="4">
        <v>6771</v>
      </c>
      <c r="D176" s="5" t="s">
        <v>1144</v>
      </c>
      <c r="E176" s="6">
        <v>41000000</v>
      </c>
      <c r="F176" s="4">
        <v>82000</v>
      </c>
      <c r="G176" s="4">
        <v>249</v>
      </c>
      <c r="H176" s="4">
        <v>0</v>
      </c>
      <c r="I176" s="4">
        <v>0</v>
      </c>
      <c r="J176" s="4">
        <v>1</v>
      </c>
    </row>
    <row r="177" spans="1:10" x14ac:dyDescent="0.15">
      <c r="A177" s="4">
        <v>12</v>
      </c>
      <c r="B177" s="4">
        <v>176</v>
      </c>
      <c r="C177" s="4">
        <v>6757</v>
      </c>
      <c r="D177" s="5" t="s">
        <v>1145</v>
      </c>
      <c r="E177" s="6">
        <v>45034824</v>
      </c>
      <c r="F177" s="4">
        <v>28900</v>
      </c>
      <c r="G177" s="4">
        <v>307</v>
      </c>
      <c r="H177" s="4">
        <v>0</v>
      </c>
      <c r="I177" s="4">
        <v>0</v>
      </c>
      <c r="J177" s="4">
        <v>0</v>
      </c>
    </row>
    <row r="178" spans="1:10" x14ac:dyDescent="0.15">
      <c r="A178" s="4">
        <v>11</v>
      </c>
      <c r="B178" s="4">
        <v>177</v>
      </c>
      <c r="C178" s="4">
        <v>6652</v>
      </c>
      <c r="D178" s="5" t="s">
        <v>1146</v>
      </c>
      <c r="E178" s="6">
        <v>102708662</v>
      </c>
      <c r="F178" s="4">
        <v>27000</v>
      </c>
      <c r="G178" s="4">
        <v>854</v>
      </c>
      <c r="H178" s="4">
        <v>0</v>
      </c>
      <c r="I178" s="4">
        <v>1</v>
      </c>
      <c r="J178" s="4">
        <v>0</v>
      </c>
    </row>
    <row r="179" spans="1:10" x14ac:dyDescent="0.15">
      <c r="A179" s="4">
        <v>11</v>
      </c>
      <c r="B179" s="4">
        <v>178</v>
      </c>
      <c r="C179" s="4">
        <v>6577</v>
      </c>
      <c r="D179" s="5" t="s">
        <v>1147</v>
      </c>
      <c r="E179" s="4" t="s">
        <v>63</v>
      </c>
      <c r="F179" s="4">
        <v>9200</v>
      </c>
      <c r="G179" s="4">
        <v>150</v>
      </c>
      <c r="H179" s="4">
        <v>0</v>
      </c>
      <c r="I179" s="4">
        <v>0</v>
      </c>
      <c r="J179" s="4">
        <v>1</v>
      </c>
    </row>
    <row r="180" spans="1:10" x14ac:dyDescent="0.15">
      <c r="A180" s="4">
        <v>18</v>
      </c>
      <c r="B180" s="4">
        <v>179</v>
      </c>
      <c r="C180" s="4">
        <v>6515</v>
      </c>
      <c r="D180" s="5" t="s">
        <v>1148</v>
      </c>
      <c r="E180" s="6">
        <v>610000000</v>
      </c>
      <c r="F180" s="4">
        <v>60778</v>
      </c>
      <c r="G180" s="4">
        <v>4800</v>
      </c>
      <c r="H180" s="4">
        <v>0</v>
      </c>
      <c r="I180" s="4">
        <v>0</v>
      </c>
      <c r="J180" s="4">
        <v>1</v>
      </c>
    </row>
    <row r="181" spans="1:10" x14ac:dyDescent="0.15">
      <c r="A181" s="4">
        <v>12</v>
      </c>
      <c r="B181" s="4">
        <v>180</v>
      </c>
      <c r="C181" s="4">
        <v>6501</v>
      </c>
      <c r="D181" s="5" t="s">
        <v>1149</v>
      </c>
      <c r="E181" s="6">
        <v>60000000</v>
      </c>
      <c r="F181" s="4">
        <v>15000</v>
      </c>
      <c r="G181" s="4">
        <v>400</v>
      </c>
      <c r="H181" s="4">
        <v>0</v>
      </c>
      <c r="I181" s="4">
        <v>0</v>
      </c>
      <c r="J181" s="4">
        <v>1</v>
      </c>
    </row>
    <row r="182" spans="1:10" x14ac:dyDescent="0.15">
      <c r="A182" s="4">
        <v>12</v>
      </c>
      <c r="B182" s="4">
        <v>181</v>
      </c>
      <c r="C182" s="4">
        <v>6426</v>
      </c>
      <c r="D182" s="5" t="s">
        <v>1150</v>
      </c>
      <c r="E182" s="6">
        <v>90683118</v>
      </c>
      <c r="F182" s="4">
        <v>25926</v>
      </c>
      <c r="G182" s="4">
        <v>698</v>
      </c>
      <c r="H182" s="4">
        <v>0</v>
      </c>
      <c r="I182" s="4">
        <v>0</v>
      </c>
      <c r="J182" s="4">
        <v>0</v>
      </c>
    </row>
    <row r="183" spans="1:10" x14ac:dyDescent="0.15">
      <c r="A183" s="4">
        <v>9</v>
      </c>
      <c r="B183" s="4">
        <v>182</v>
      </c>
      <c r="C183" s="4">
        <v>6425</v>
      </c>
      <c r="D183" s="5" t="s">
        <v>1151</v>
      </c>
      <c r="E183" s="6">
        <v>196880009</v>
      </c>
      <c r="F183" s="4">
        <v>42000</v>
      </c>
      <c r="G183" s="4">
        <v>1571</v>
      </c>
      <c r="H183" s="4">
        <v>0</v>
      </c>
      <c r="I183" s="4">
        <v>0</v>
      </c>
      <c r="J183" s="4">
        <v>0</v>
      </c>
    </row>
    <row r="184" spans="1:10" x14ac:dyDescent="0.15">
      <c r="A184" s="4">
        <v>1</v>
      </c>
      <c r="B184" s="4">
        <v>183</v>
      </c>
      <c r="C184" s="4">
        <v>6420</v>
      </c>
      <c r="D184" s="5" t="s">
        <v>1152</v>
      </c>
      <c r="E184" s="6">
        <v>21000000</v>
      </c>
      <c r="F184" s="4">
        <v>13000</v>
      </c>
      <c r="G184" s="4">
        <v>211</v>
      </c>
      <c r="H184" s="4">
        <v>0</v>
      </c>
      <c r="I184" s="4">
        <v>0</v>
      </c>
      <c r="J184" s="4">
        <v>1</v>
      </c>
    </row>
    <row r="185" spans="1:10" x14ac:dyDescent="0.15">
      <c r="A185" s="4">
        <v>9</v>
      </c>
      <c r="B185" s="4">
        <v>184</v>
      </c>
      <c r="C185" s="4">
        <v>6386</v>
      </c>
      <c r="D185" s="5" t="s">
        <v>1153</v>
      </c>
      <c r="E185" s="6">
        <v>70781240</v>
      </c>
      <c r="F185" s="4">
        <v>20200</v>
      </c>
      <c r="G185" s="4">
        <v>565</v>
      </c>
      <c r="H185" s="4">
        <v>0</v>
      </c>
      <c r="I185" s="4">
        <v>0</v>
      </c>
      <c r="J185" s="4">
        <v>0</v>
      </c>
    </row>
    <row r="186" spans="1:10" x14ac:dyDescent="0.15">
      <c r="A186" s="4">
        <v>5</v>
      </c>
      <c r="B186" s="4">
        <v>185</v>
      </c>
      <c r="C186" s="4">
        <v>6370</v>
      </c>
      <c r="D186" s="5" t="s">
        <v>1154</v>
      </c>
      <c r="E186" s="6">
        <v>35314784</v>
      </c>
      <c r="F186" s="4">
        <v>22000</v>
      </c>
      <c r="G186" s="4">
        <v>159</v>
      </c>
      <c r="H186" s="4">
        <v>0</v>
      </c>
      <c r="I186" s="4">
        <v>0</v>
      </c>
      <c r="J186" s="4">
        <v>0</v>
      </c>
    </row>
    <row r="187" spans="1:10" x14ac:dyDescent="0.15">
      <c r="A187" s="4">
        <v>4</v>
      </c>
      <c r="B187" s="4">
        <v>186</v>
      </c>
      <c r="C187" s="4">
        <v>6314</v>
      </c>
      <c r="D187" s="5" t="s">
        <v>1155</v>
      </c>
      <c r="E187" s="6">
        <v>183000000</v>
      </c>
      <c r="F187" s="4">
        <v>14500</v>
      </c>
      <c r="G187" s="4">
        <v>1100</v>
      </c>
      <c r="H187" s="4">
        <v>1</v>
      </c>
      <c r="I187" s="4">
        <v>1</v>
      </c>
      <c r="J187" s="4">
        <v>1</v>
      </c>
    </row>
    <row r="188" spans="1:10" x14ac:dyDescent="0.15">
      <c r="A188" s="4">
        <v>4</v>
      </c>
      <c r="B188" s="4">
        <v>187</v>
      </c>
      <c r="C188" s="4">
        <v>6285</v>
      </c>
      <c r="D188" s="5" t="s">
        <v>1156</v>
      </c>
      <c r="E188" s="6">
        <v>33000000</v>
      </c>
      <c r="F188" s="4">
        <v>8468</v>
      </c>
      <c r="G188" s="4">
        <v>280</v>
      </c>
      <c r="H188" s="4">
        <v>0</v>
      </c>
      <c r="I188" s="4">
        <v>0</v>
      </c>
      <c r="J188" s="4">
        <v>1</v>
      </c>
    </row>
    <row r="189" spans="1:10" x14ac:dyDescent="0.15">
      <c r="A189" s="4">
        <v>12</v>
      </c>
      <c r="B189" s="4">
        <v>188</v>
      </c>
      <c r="C189" s="4">
        <v>6282</v>
      </c>
      <c r="D189" s="5" t="s">
        <v>1157</v>
      </c>
      <c r="E189" s="6">
        <v>19291621</v>
      </c>
      <c r="F189" s="4">
        <v>12900</v>
      </c>
      <c r="G189" s="4">
        <v>131</v>
      </c>
      <c r="H189" s="4">
        <v>0</v>
      </c>
      <c r="I189" s="4">
        <v>0</v>
      </c>
      <c r="J189" s="4">
        <v>1</v>
      </c>
    </row>
    <row r="190" spans="1:10" x14ac:dyDescent="0.15">
      <c r="A190" s="4">
        <v>20</v>
      </c>
      <c r="B190" s="4">
        <v>189</v>
      </c>
      <c r="C190" s="4">
        <v>6211</v>
      </c>
      <c r="D190" s="5" t="s">
        <v>1158</v>
      </c>
      <c r="E190" s="6">
        <v>70000000</v>
      </c>
      <c r="F190" s="4">
        <v>13635</v>
      </c>
      <c r="G190" s="4">
        <v>700</v>
      </c>
      <c r="H190" s="4">
        <v>0</v>
      </c>
      <c r="I190" s="4">
        <v>0</v>
      </c>
      <c r="J190" s="4">
        <v>1</v>
      </c>
    </row>
    <row r="191" spans="1:10" x14ac:dyDescent="0.15">
      <c r="A191" s="4">
        <v>17</v>
      </c>
      <c r="B191" s="4">
        <v>190</v>
      </c>
      <c r="C191" s="4">
        <v>6195</v>
      </c>
      <c r="D191" s="5" t="s">
        <v>1159</v>
      </c>
      <c r="E191" s="6">
        <v>19258635</v>
      </c>
      <c r="F191" s="4">
        <v>8000</v>
      </c>
      <c r="G191" s="4">
        <v>117</v>
      </c>
      <c r="H191" s="4">
        <v>0</v>
      </c>
      <c r="I191" s="4">
        <v>0</v>
      </c>
      <c r="J191" s="4">
        <v>1</v>
      </c>
    </row>
    <row r="192" spans="1:10" x14ac:dyDescent="0.15">
      <c r="A192" s="4">
        <v>12</v>
      </c>
      <c r="B192" s="4">
        <v>191</v>
      </c>
      <c r="C192" s="4">
        <v>6193</v>
      </c>
      <c r="D192" s="5" t="s">
        <v>1160</v>
      </c>
      <c r="E192" s="6">
        <v>74000000</v>
      </c>
      <c r="F192" s="4">
        <v>17000</v>
      </c>
      <c r="G192" s="4">
        <v>150</v>
      </c>
      <c r="H192" s="4">
        <v>1</v>
      </c>
      <c r="I192" s="4">
        <v>0</v>
      </c>
      <c r="J192" s="4">
        <v>1</v>
      </c>
    </row>
    <row r="193" spans="1:10" x14ac:dyDescent="0.15">
      <c r="A193" s="4">
        <v>12</v>
      </c>
      <c r="B193" s="4">
        <v>192</v>
      </c>
      <c r="C193" s="4">
        <v>6183</v>
      </c>
      <c r="D193" s="5" t="s">
        <v>1161</v>
      </c>
      <c r="E193" s="6">
        <v>24616398</v>
      </c>
      <c r="F193" s="4">
        <v>24000</v>
      </c>
      <c r="G193" s="4">
        <v>236</v>
      </c>
      <c r="H193" s="4">
        <v>0</v>
      </c>
      <c r="I193" s="4">
        <v>0</v>
      </c>
      <c r="J193" s="4">
        <v>0</v>
      </c>
    </row>
    <row r="194" spans="1:10" x14ac:dyDescent="0.15">
      <c r="A194" s="4">
        <v>11</v>
      </c>
      <c r="B194" s="4">
        <v>193</v>
      </c>
      <c r="C194" s="4">
        <v>6124</v>
      </c>
      <c r="D194" s="5" t="s">
        <v>1162</v>
      </c>
      <c r="E194" s="6">
        <v>65270657</v>
      </c>
      <c r="F194" s="4">
        <v>3400</v>
      </c>
      <c r="G194" s="4">
        <v>544</v>
      </c>
      <c r="H194" s="4">
        <v>1</v>
      </c>
      <c r="I194" s="4">
        <v>0</v>
      </c>
      <c r="J194" s="4">
        <v>0</v>
      </c>
    </row>
    <row r="195" spans="1:10" x14ac:dyDescent="0.15">
      <c r="A195" s="4">
        <v>11</v>
      </c>
      <c r="B195" s="4">
        <v>194</v>
      </c>
      <c r="C195" s="4">
        <v>6040</v>
      </c>
      <c r="D195" s="5" t="s">
        <v>1163</v>
      </c>
      <c r="E195" s="6">
        <v>500000000</v>
      </c>
      <c r="F195" s="4">
        <v>41000</v>
      </c>
      <c r="G195" s="4">
        <v>4000</v>
      </c>
      <c r="H195" s="4">
        <v>0</v>
      </c>
      <c r="I195" s="4">
        <v>0</v>
      </c>
      <c r="J195" s="4">
        <v>1</v>
      </c>
    </row>
    <row r="196" spans="1:10" x14ac:dyDescent="0.15">
      <c r="A196" s="4">
        <v>12</v>
      </c>
      <c r="B196" s="4">
        <v>195</v>
      </c>
      <c r="C196" s="4">
        <v>6006</v>
      </c>
      <c r="D196" s="5" t="s">
        <v>1164</v>
      </c>
      <c r="E196" s="6">
        <v>32939685</v>
      </c>
      <c r="F196" s="4">
        <v>20000</v>
      </c>
      <c r="G196" s="4">
        <v>224</v>
      </c>
      <c r="H196" s="4">
        <v>0</v>
      </c>
      <c r="I196" s="4">
        <v>0</v>
      </c>
      <c r="J196" s="4">
        <v>0</v>
      </c>
    </row>
    <row r="197" spans="1:10" x14ac:dyDescent="0.15">
      <c r="A197" s="4">
        <v>15</v>
      </c>
      <c r="B197" s="4">
        <v>196</v>
      </c>
      <c r="C197" s="4">
        <v>5960</v>
      </c>
      <c r="D197" s="5" t="s">
        <v>1165</v>
      </c>
      <c r="E197" s="6">
        <v>190000000</v>
      </c>
      <c r="F197" s="4">
        <v>25394</v>
      </c>
      <c r="G197" s="4">
        <v>9500</v>
      </c>
      <c r="H197" s="4">
        <v>1</v>
      </c>
      <c r="I197" s="4">
        <v>1</v>
      </c>
      <c r="J197" s="4">
        <v>1</v>
      </c>
    </row>
    <row r="198" spans="1:10" x14ac:dyDescent="0.15">
      <c r="A198" s="4">
        <v>9</v>
      </c>
      <c r="B198" s="4">
        <v>197</v>
      </c>
      <c r="C198" s="4">
        <v>5940</v>
      </c>
      <c r="D198" s="5" t="s">
        <v>1166</v>
      </c>
      <c r="E198" s="6">
        <v>71446857</v>
      </c>
      <c r="F198" s="4">
        <v>26500</v>
      </c>
      <c r="G198" s="4">
        <v>570</v>
      </c>
      <c r="H198" s="4">
        <v>0</v>
      </c>
      <c r="I198" s="4">
        <v>0</v>
      </c>
      <c r="J198" s="4">
        <v>0</v>
      </c>
    </row>
    <row r="199" spans="1:10" x14ac:dyDescent="0.15">
      <c r="A199" s="4">
        <v>13</v>
      </c>
      <c r="B199" s="4">
        <v>198</v>
      </c>
      <c r="C199" s="4">
        <v>5890</v>
      </c>
      <c r="D199" s="5" t="s">
        <v>1167</v>
      </c>
      <c r="E199" s="6">
        <v>16803173</v>
      </c>
      <c r="F199" s="4">
        <v>7700</v>
      </c>
      <c r="G199" s="4">
        <v>95</v>
      </c>
      <c r="H199" s="4">
        <v>0</v>
      </c>
      <c r="I199" s="4">
        <v>0</v>
      </c>
      <c r="J199" s="4">
        <v>0</v>
      </c>
    </row>
    <row r="200" spans="1:10" x14ac:dyDescent="0.15">
      <c r="A200" s="4">
        <v>2</v>
      </c>
      <c r="B200" s="4">
        <v>199</v>
      </c>
      <c r="C200" s="4">
        <v>5889</v>
      </c>
      <c r="D200" s="5" t="s">
        <v>1168</v>
      </c>
      <c r="E200" s="6">
        <v>600000000</v>
      </c>
      <c r="F200" s="4">
        <v>33535</v>
      </c>
      <c r="G200" s="4">
        <v>2300</v>
      </c>
      <c r="H200" s="4">
        <v>1</v>
      </c>
      <c r="I200" s="4">
        <v>0</v>
      </c>
      <c r="J200" s="4">
        <v>1</v>
      </c>
    </row>
    <row r="201" spans="1:10" x14ac:dyDescent="0.15">
      <c r="A201" s="4">
        <v>12</v>
      </c>
      <c r="B201" s="4">
        <v>200</v>
      </c>
      <c r="C201" s="4">
        <v>5863</v>
      </c>
      <c r="D201" s="5" t="s">
        <v>1169</v>
      </c>
      <c r="E201" s="6">
        <v>17928077</v>
      </c>
      <c r="F201" s="4">
        <v>10250</v>
      </c>
      <c r="G201" s="4">
        <v>122</v>
      </c>
      <c r="H201" s="4">
        <v>0</v>
      </c>
      <c r="I201" s="4">
        <v>0</v>
      </c>
      <c r="J201" s="4">
        <v>0</v>
      </c>
    </row>
    <row r="202" spans="1:10" x14ac:dyDescent="0.15">
      <c r="A202" s="4">
        <v>12</v>
      </c>
      <c r="B202" s="4">
        <v>201</v>
      </c>
      <c r="C202" s="4">
        <v>5852</v>
      </c>
      <c r="D202" s="5" t="s">
        <v>1170</v>
      </c>
      <c r="E202" s="6">
        <v>20238526</v>
      </c>
      <c r="F202" s="4">
        <v>12500</v>
      </c>
      <c r="G202" s="4">
        <v>138</v>
      </c>
      <c r="H202" s="4">
        <v>0</v>
      </c>
      <c r="I202" s="4">
        <v>0</v>
      </c>
      <c r="J202" s="4">
        <v>0</v>
      </c>
    </row>
    <row r="203" spans="1:10" x14ac:dyDescent="0.15">
      <c r="A203" s="4">
        <v>12</v>
      </c>
      <c r="B203" s="4">
        <v>202</v>
      </c>
      <c r="C203" s="4">
        <v>5841</v>
      </c>
      <c r="D203" s="5" t="s">
        <v>1171</v>
      </c>
      <c r="E203" s="6">
        <v>66000000</v>
      </c>
      <c r="F203" s="4">
        <v>20000</v>
      </c>
      <c r="G203" s="4">
        <v>550</v>
      </c>
      <c r="H203" s="4">
        <v>0</v>
      </c>
      <c r="I203" s="4">
        <v>0</v>
      </c>
      <c r="J203" s="4">
        <v>1</v>
      </c>
    </row>
    <row r="204" spans="1:10" x14ac:dyDescent="0.15">
      <c r="A204" s="4">
        <v>12</v>
      </c>
      <c r="B204" s="4">
        <v>203</v>
      </c>
      <c r="C204" s="4">
        <v>5828</v>
      </c>
      <c r="D204" s="5" t="s">
        <v>1172</v>
      </c>
      <c r="E204" s="6">
        <v>49000000</v>
      </c>
      <c r="F204" s="4">
        <v>20000</v>
      </c>
      <c r="G204" s="4">
        <v>280</v>
      </c>
      <c r="H204" s="4">
        <v>0</v>
      </c>
      <c r="I204" s="4">
        <v>0</v>
      </c>
      <c r="J204" s="4">
        <v>1</v>
      </c>
    </row>
    <row r="205" spans="1:10" x14ac:dyDescent="0.15">
      <c r="A205" s="4">
        <v>12</v>
      </c>
      <c r="B205" s="4">
        <v>204</v>
      </c>
      <c r="C205" s="4">
        <v>5811</v>
      </c>
      <c r="D205" s="5" t="s">
        <v>1173</v>
      </c>
      <c r="E205" s="6">
        <v>14304585</v>
      </c>
      <c r="F205" s="4">
        <v>14300</v>
      </c>
      <c r="G205" s="4">
        <v>97</v>
      </c>
      <c r="H205" s="4">
        <v>0</v>
      </c>
      <c r="I205" s="4">
        <v>0</v>
      </c>
      <c r="J205" s="4">
        <v>0</v>
      </c>
    </row>
    <row r="206" spans="1:10" x14ac:dyDescent="0.15">
      <c r="A206" s="4">
        <v>9</v>
      </c>
      <c r="B206" s="4">
        <v>205</v>
      </c>
      <c r="C206" s="4">
        <v>5800</v>
      </c>
      <c r="D206" s="5" t="s">
        <v>1174</v>
      </c>
      <c r="E206" s="6">
        <v>68451580</v>
      </c>
      <c r="F206" s="4">
        <v>31703</v>
      </c>
      <c r="G206" s="4">
        <v>546</v>
      </c>
      <c r="H206" s="4">
        <v>0</v>
      </c>
      <c r="I206" s="4">
        <v>0</v>
      </c>
      <c r="J206" s="4">
        <v>0</v>
      </c>
    </row>
    <row r="207" spans="1:10" x14ac:dyDescent="0.15">
      <c r="A207" s="4">
        <v>12</v>
      </c>
      <c r="B207" s="4">
        <v>206</v>
      </c>
      <c r="C207" s="4">
        <v>5793</v>
      </c>
      <c r="D207" s="5" t="s">
        <v>1175</v>
      </c>
      <c r="E207" s="6">
        <v>14392963</v>
      </c>
      <c r="F207" s="4">
        <v>13000</v>
      </c>
      <c r="G207" s="4">
        <v>98</v>
      </c>
      <c r="H207" s="4">
        <v>0</v>
      </c>
      <c r="I207" s="4">
        <v>0</v>
      </c>
      <c r="J207" s="4">
        <v>0</v>
      </c>
    </row>
    <row r="208" spans="1:10" x14ac:dyDescent="0.15">
      <c r="A208" s="4">
        <v>11</v>
      </c>
      <c r="B208" s="4">
        <v>207</v>
      </c>
      <c r="C208" s="4">
        <v>5790</v>
      </c>
      <c r="D208" s="5" t="s">
        <v>1176</v>
      </c>
      <c r="E208" s="6">
        <v>1000000</v>
      </c>
      <c r="F208" s="4">
        <v>500</v>
      </c>
      <c r="G208" s="4">
        <v>8</v>
      </c>
      <c r="H208" s="4">
        <v>0</v>
      </c>
      <c r="I208" s="4">
        <v>0</v>
      </c>
      <c r="J208" s="4">
        <v>1</v>
      </c>
    </row>
    <row r="209" spans="1:10" x14ac:dyDescent="0.15">
      <c r="A209" s="4">
        <v>4</v>
      </c>
      <c r="B209" s="4">
        <v>208</v>
      </c>
      <c r="C209" s="4">
        <v>5790</v>
      </c>
      <c r="D209" s="5" t="s">
        <v>1177</v>
      </c>
      <c r="E209" s="6">
        <v>25288499</v>
      </c>
      <c r="F209" s="4">
        <v>9200</v>
      </c>
      <c r="G209" s="4">
        <v>122</v>
      </c>
      <c r="H209" s="4">
        <v>0</v>
      </c>
      <c r="I209" s="4">
        <v>0</v>
      </c>
      <c r="J209" s="4">
        <v>0</v>
      </c>
    </row>
    <row r="210" spans="1:10" x14ac:dyDescent="0.15">
      <c r="A210" s="4">
        <v>14</v>
      </c>
      <c r="B210" s="4">
        <v>209</v>
      </c>
      <c r="C210" s="4">
        <v>5754</v>
      </c>
      <c r="D210" s="5" t="s">
        <v>1178</v>
      </c>
      <c r="E210" s="6">
        <v>29122543</v>
      </c>
      <c r="F210" s="4">
        <v>26900</v>
      </c>
      <c r="G210" s="4">
        <v>200</v>
      </c>
      <c r="H210" s="4">
        <v>0</v>
      </c>
      <c r="I210" s="4">
        <v>0</v>
      </c>
      <c r="J210" s="4">
        <v>0</v>
      </c>
    </row>
    <row r="211" spans="1:10" x14ac:dyDescent="0.15">
      <c r="A211" s="4">
        <v>2</v>
      </c>
      <c r="B211" s="4">
        <v>210</v>
      </c>
      <c r="C211" s="4">
        <v>5709</v>
      </c>
      <c r="D211" s="5" t="s">
        <v>1179</v>
      </c>
      <c r="E211" s="6">
        <v>305688240</v>
      </c>
      <c r="F211" s="4">
        <v>32861</v>
      </c>
      <c r="G211" s="4">
        <v>1407</v>
      </c>
      <c r="H211" s="4">
        <v>0</v>
      </c>
      <c r="I211" s="4">
        <v>0</v>
      </c>
      <c r="J211" s="4">
        <v>0</v>
      </c>
    </row>
    <row r="212" spans="1:10" x14ac:dyDescent="0.15">
      <c r="A212" s="4">
        <v>9</v>
      </c>
      <c r="B212" s="4">
        <v>211</v>
      </c>
      <c r="C212" s="4">
        <v>5679</v>
      </c>
      <c r="D212" s="5" t="s">
        <v>1180</v>
      </c>
      <c r="E212" s="6">
        <v>22000000</v>
      </c>
      <c r="F212" s="4">
        <v>55000</v>
      </c>
      <c r="G212" s="4">
        <v>190</v>
      </c>
      <c r="H212" s="4">
        <v>0</v>
      </c>
      <c r="I212" s="4">
        <v>0</v>
      </c>
      <c r="J212" s="4">
        <v>1</v>
      </c>
    </row>
    <row r="213" spans="1:10" x14ac:dyDescent="0.15">
      <c r="A213" s="4">
        <v>20</v>
      </c>
      <c r="B213" s="4">
        <v>212</v>
      </c>
      <c r="C213" s="4">
        <v>5675</v>
      </c>
      <c r="D213" s="5" t="s">
        <v>1181</v>
      </c>
      <c r="E213" s="6">
        <v>40922420</v>
      </c>
      <c r="F213" s="4">
        <v>10237</v>
      </c>
      <c r="G213" s="4">
        <v>203</v>
      </c>
      <c r="H213" s="4">
        <v>0</v>
      </c>
      <c r="I213" s="4">
        <v>0</v>
      </c>
      <c r="J213" s="4">
        <v>0</v>
      </c>
    </row>
    <row r="214" spans="1:10" x14ac:dyDescent="0.15">
      <c r="A214" s="4">
        <v>17</v>
      </c>
      <c r="B214" s="4">
        <v>213</v>
      </c>
      <c r="C214" s="4">
        <v>5658</v>
      </c>
      <c r="D214" s="5" t="s">
        <v>1182</v>
      </c>
      <c r="E214" s="6">
        <v>25000000</v>
      </c>
      <c r="F214" s="4">
        <v>30000</v>
      </c>
      <c r="G214" s="4">
        <v>200</v>
      </c>
      <c r="H214" s="4">
        <v>0</v>
      </c>
      <c r="I214" s="4">
        <v>0</v>
      </c>
      <c r="J214" s="4">
        <v>1</v>
      </c>
    </row>
    <row r="215" spans="1:10" x14ac:dyDescent="0.15">
      <c r="A215" s="4">
        <v>4</v>
      </c>
      <c r="B215" s="4">
        <v>214</v>
      </c>
      <c r="C215" s="4">
        <v>5634</v>
      </c>
      <c r="D215" s="5" t="s">
        <v>1183</v>
      </c>
      <c r="E215" s="6">
        <v>35000000</v>
      </c>
      <c r="F215" s="4">
        <v>5900</v>
      </c>
      <c r="G215" s="4">
        <v>110</v>
      </c>
      <c r="H215" s="4">
        <v>0</v>
      </c>
      <c r="I215" s="4">
        <v>0</v>
      </c>
      <c r="J215" s="4">
        <v>1</v>
      </c>
    </row>
    <row r="216" spans="1:10" x14ac:dyDescent="0.15">
      <c r="A216" s="4">
        <v>19</v>
      </c>
      <c r="B216" s="4">
        <v>215</v>
      </c>
      <c r="C216" s="4">
        <v>5626</v>
      </c>
      <c r="D216" s="5" t="s">
        <v>1184</v>
      </c>
      <c r="E216" s="6">
        <v>200000000</v>
      </c>
      <c r="F216" s="4">
        <v>28000</v>
      </c>
      <c r="G216" s="4">
        <v>848</v>
      </c>
      <c r="H216" s="4">
        <v>1</v>
      </c>
      <c r="I216" s="4">
        <v>0</v>
      </c>
      <c r="J216" s="4">
        <v>1</v>
      </c>
    </row>
    <row r="217" spans="1:10" x14ac:dyDescent="0.15">
      <c r="A217" s="4">
        <v>14</v>
      </c>
      <c r="B217" s="4">
        <v>216</v>
      </c>
      <c r="C217" s="4">
        <v>5597</v>
      </c>
      <c r="D217" s="5" t="s">
        <v>1185</v>
      </c>
      <c r="E217" s="6">
        <v>48900824</v>
      </c>
      <c r="F217" s="4">
        <v>29000</v>
      </c>
      <c r="G217" s="4">
        <v>600</v>
      </c>
      <c r="H217" s="4">
        <v>0</v>
      </c>
      <c r="I217" s="4">
        <v>0</v>
      </c>
      <c r="J217" s="4">
        <v>0</v>
      </c>
    </row>
    <row r="218" spans="1:10" x14ac:dyDescent="0.15">
      <c r="A218" s="4">
        <v>11</v>
      </c>
      <c r="B218" s="4">
        <v>217</v>
      </c>
      <c r="C218" s="4">
        <v>5582</v>
      </c>
      <c r="D218" s="5" t="s">
        <v>1186</v>
      </c>
      <c r="E218" s="6">
        <v>95317956</v>
      </c>
      <c r="F218" s="4">
        <v>9357</v>
      </c>
      <c r="G218" s="4">
        <v>795</v>
      </c>
      <c r="H218" s="4">
        <v>0</v>
      </c>
      <c r="I218" s="4">
        <v>0</v>
      </c>
      <c r="J218" s="4">
        <v>0</v>
      </c>
    </row>
    <row r="219" spans="1:10" x14ac:dyDescent="0.15">
      <c r="A219" s="4">
        <v>14</v>
      </c>
      <c r="B219" s="4">
        <v>218</v>
      </c>
      <c r="C219" s="4">
        <v>5571</v>
      </c>
      <c r="D219" s="5" t="s">
        <v>1187</v>
      </c>
      <c r="E219" s="6">
        <v>30800000</v>
      </c>
      <c r="F219" s="4">
        <v>24600</v>
      </c>
      <c r="G219" s="4">
        <v>206</v>
      </c>
      <c r="H219" s="4">
        <v>0</v>
      </c>
      <c r="I219" s="4">
        <v>0</v>
      </c>
      <c r="J219" s="4">
        <v>1</v>
      </c>
    </row>
    <row r="220" spans="1:10" x14ac:dyDescent="0.15">
      <c r="A220" s="4">
        <v>2</v>
      </c>
      <c r="B220" s="4">
        <v>219</v>
      </c>
      <c r="C220" s="4">
        <v>5562</v>
      </c>
      <c r="D220" s="5" t="s">
        <v>1188</v>
      </c>
      <c r="E220" s="6">
        <v>264000000</v>
      </c>
      <c r="F220" s="4">
        <v>24000</v>
      </c>
      <c r="G220" s="4">
        <v>1962</v>
      </c>
      <c r="H220" s="4">
        <v>0</v>
      </c>
      <c r="I220" s="4">
        <v>0</v>
      </c>
      <c r="J220" s="4">
        <v>1</v>
      </c>
    </row>
    <row r="221" spans="1:10" x14ac:dyDescent="0.15">
      <c r="A221" s="4">
        <v>2</v>
      </c>
      <c r="B221" s="4">
        <v>220</v>
      </c>
      <c r="C221" s="4">
        <v>5549</v>
      </c>
      <c r="D221" s="5" t="s">
        <v>1189</v>
      </c>
      <c r="E221" s="6">
        <v>50051928</v>
      </c>
      <c r="F221" s="4">
        <v>14370</v>
      </c>
      <c r="G221" s="4">
        <v>230</v>
      </c>
      <c r="H221" s="4">
        <v>0</v>
      </c>
      <c r="I221" s="4">
        <v>0</v>
      </c>
      <c r="J221" s="4">
        <v>0</v>
      </c>
    </row>
    <row r="222" spans="1:10" x14ac:dyDescent="0.15">
      <c r="A222" s="4">
        <v>12</v>
      </c>
      <c r="B222" s="4">
        <v>221</v>
      </c>
      <c r="C222" s="4">
        <v>5521</v>
      </c>
      <c r="D222" s="5" t="s">
        <v>1190</v>
      </c>
      <c r="E222" s="6">
        <v>42000000</v>
      </c>
      <c r="F222" s="4">
        <v>15000</v>
      </c>
      <c r="G222" s="4">
        <v>320</v>
      </c>
      <c r="H222" s="4">
        <v>0</v>
      </c>
      <c r="I222" s="4">
        <v>0</v>
      </c>
      <c r="J222" s="4">
        <v>1</v>
      </c>
    </row>
    <row r="223" spans="1:10" x14ac:dyDescent="0.15">
      <c r="A223" s="4">
        <v>16</v>
      </c>
      <c r="B223" s="4">
        <v>222</v>
      </c>
      <c r="C223" s="4">
        <v>5520</v>
      </c>
      <c r="D223" s="5" t="s">
        <v>1191</v>
      </c>
      <c r="E223" s="6">
        <v>14654002</v>
      </c>
      <c r="F223" s="4">
        <v>3845</v>
      </c>
      <c r="G223" s="4">
        <v>60</v>
      </c>
      <c r="H223" s="4">
        <v>0</v>
      </c>
      <c r="I223" s="4">
        <v>0</v>
      </c>
      <c r="J223" s="4">
        <v>0</v>
      </c>
    </row>
    <row r="224" spans="1:10" x14ac:dyDescent="0.15">
      <c r="A224" s="4">
        <v>4</v>
      </c>
      <c r="B224" s="4">
        <v>223</v>
      </c>
      <c r="C224" s="4">
        <v>5510</v>
      </c>
      <c r="D224" s="5" t="s">
        <v>1192</v>
      </c>
      <c r="E224" s="6">
        <v>115284618</v>
      </c>
      <c r="F224" s="4">
        <v>17748</v>
      </c>
      <c r="G224" s="4">
        <v>369</v>
      </c>
      <c r="H224" s="4">
        <v>0</v>
      </c>
      <c r="I224" s="4">
        <v>0</v>
      </c>
      <c r="J224" s="4">
        <v>1</v>
      </c>
    </row>
    <row r="225" spans="1:10" x14ac:dyDescent="0.15">
      <c r="A225" s="4">
        <v>8</v>
      </c>
      <c r="B225" s="4">
        <v>224</v>
      </c>
      <c r="C225" s="4">
        <v>5497</v>
      </c>
      <c r="D225" s="5" t="s">
        <v>1193</v>
      </c>
      <c r="E225" s="4" t="s">
        <v>63</v>
      </c>
      <c r="F225" s="4">
        <v>22000</v>
      </c>
      <c r="G225" s="4">
        <v>812</v>
      </c>
      <c r="H225" s="4">
        <v>0</v>
      </c>
      <c r="I225" s="4">
        <v>0</v>
      </c>
      <c r="J225" s="4">
        <v>1</v>
      </c>
    </row>
    <row r="226" spans="1:10" x14ac:dyDescent="0.15">
      <c r="A226" s="4">
        <v>14</v>
      </c>
      <c r="B226" s="4">
        <v>225</v>
      </c>
      <c r="C226" s="4">
        <v>5465</v>
      </c>
      <c r="D226" s="5" t="s">
        <v>1194</v>
      </c>
      <c r="E226" s="6">
        <v>20819243</v>
      </c>
      <c r="F226" s="4">
        <v>16000</v>
      </c>
      <c r="G226" s="4">
        <v>143</v>
      </c>
      <c r="H226" s="4">
        <v>0</v>
      </c>
      <c r="I226" s="4">
        <v>0</v>
      </c>
      <c r="J226" s="4">
        <v>0</v>
      </c>
    </row>
    <row r="227" spans="1:10" x14ac:dyDescent="0.15">
      <c r="A227" s="4">
        <v>12</v>
      </c>
      <c r="B227" s="4">
        <v>226</v>
      </c>
      <c r="C227" s="4">
        <v>5445</v>
      </c>
      <c r="D227" s="5" t="s">
        <v>1195</v>
      </c>
      <c r="E227" s="6">
        <v>26121965</v>
      </c>
      <c r="F227" s="4">
        <v>20300</v>
      </c>
      <c r="G227" s="4">
        <v>178</v>
      </c>
      <c r="H227" s="4">
        <v>0</v>
      </c>
      <c r="I227" s="4">
        <v>0</v>
      </c>
      <c r="J227" s="4">
        <v>0</v>
      </c>
    </row>
    <row r="228" spans="1:10" x14ac:dyDescent="0.15">
      <c r="A228" s="4">
        <v>5</v>
      </c>
      <c r="B228" s="4">
        <v>227</v>
      </c>
      <c r="C228" s="4">
        <v>5426</v>
      </c>
      <c r="D228" s="5" t="s">
        <v>1196</v>
      </c>
      <c r="E228" s="6">
        <v>93297081</v>
      </c>
      <c r="F228" s="4">
        <v>60000</v>
      </c>
      <c r="G228" s="4">
        <v>600</v>
      </c>
      <c r="H228" s="4">
        <v>0</v>
      </c>
      <c r="I228" s="4">
        <v>0</v>
      </c>
      <c r="J228" s="4">
        <v>0</v>
      </c>
    </row>
    <row r="229" spans="1:10" x14ac:dyDescent="0.15">
      <c r="A229" s="4">
        <v>9</v>
      </c>
      <c r="B229" s="4">
        <v>228</v>
      </c>
      <c r="C229" s="4">
        <v>5422</v>
      </c>
      <c r="D229" s="5" t="s">
        <v>1197</v>
      </c>
      <c r="E229" s="6">
        <v>113000000</v>
      </c>
      <c r="F229" s="4">
        <v>140969</v>
      </c>
      <c r="G229" s="4">
        <v>739</v>
      </c>
      <c r="H229" s="4">
        <v>0</v>
      </c>
      <c r="I229" s="4">
        <v>1</v>
      </c>
      <c r="J229" s="4">
        <v>1</v>
      </c>
    </row>
    <row r="230" spans="1:10" x14ac:dyDescent="0.15">
      <c r="A230" s="4">
        <v>9</v>
      </c>
      <c r="B230" s="4">
        <v>229</v>
      </c>
      <c r="C230" s="4">
        <v>5414</v>
      </c>
      <c r="D230" s="5" t="s">
        <v>1198</v>
      </c>
      <c r="E230" s="6">
        <v>75000000</v>
      </c>
      <c r="F230" s="4">
        <v>40000</v>
      </c>
      <c r="G230" s="4">
        <v>450</v>
      </c>
      <c r="H230" s="4">
        <v>1</v>
      </c>
      <c r="I230" s="4">
        <v>0</v>
      </c>
      <c r="J230" s="4">
        <v>1</v>
      </c>
    </row>
    <row r="231" spans="1:10" x14ac:dyDescent="0.15">
      <c r="A231" s="4">
        <v>7</v>
      </c>
      <c r="B231" s="4">
        <v>230</v>
      </c>
      <c r="C231" s="4">
        <v>5410</v>
      </c>
      <c r="D231" s="5" t="s">
        <v>1199</v>
      </c>
      <c r="E231" s="6">
        <v>100000000</v>
      </c>
      <c r="F231" s="4">
        <v>18000</v>
      </c>
      <c r="G231" s="4">
        <v>600</v>
      </c>
      <c r="H231" s="4">
        <v>0</v>
      </c>
      <c r="I231" s="4">
        <v>0</v>
      </c>
      <c r="J231" s="4">
        <v>1</v>
      </c>
    </row>
    <row r="232" spans="1:10" x14ac:dyDescent="0.15">
      <c r="A232" s="4">
        <v>3</v>
      </c>
      <c r="B232" s="4">
        <v>231</v>
      </c>
      <c r="C232" s="4">
        <v>5408</v>
      </c>
      <c r="D232" s="5" t="s">
        <v>1200</v>
      </c>
      <c r="E232" s="6">
        <v>13225130</v>
      </c>
      <c r="F232" s="4">
        <v>11989</v>
      </c>
      <c r="G232" s="4">
        <v>368</v>
      </c>
      <c r="H232" s="4">
        <v>0</v>
      </c>
      <c r="I232" s="4">
        <v>0</v>
      </c>
      <c r="J232" s="4">
        <v>0</v>
      </c>
    </row>
    <row r="233" spans="1:10" x14ac:dyDescent="0.15">
      <c r="A233" s="4">
        <v>5</v>
      </c>
      <c r="B233" s="4">
        <v>232</v>
      </c>
      <c r="C233" s="4">
        <v>5389</v>
      </c>
      <c r="D233" s="5" t="s">
        <v>1201</v>
      </c>
      <c r="E233" s="6">
        <v>500000000</v>
      </c>
      <c r="F233" s="4">
        <v>96500</v>
      </c>
      <c r="G233" s="4">
        <v>2500</v>
      </c>
      <c r="H233" s="4">
        <v>1</v>
      </c>
      <c r="I233" s="4">
        <v>1</v>
      </c>
      <c r="J233" s="4">
        <v>1</v>
      </c>
    </row>
    <row r="234" spans="1:10" x14ac:dyDescent="0.15">
      <c r="A234" s="4">
        <v>14</v>
      </c>
      <c r="B234" s="4">
        <v>233</v>
      </c>
      <c r="C234" s="4">
        <v>5378</v>
      </c>
      <c r="D234" s="5" t="s">
        <v>1202</v>
      </c>
      <c r="E234" s="6">
        <v>21209604</v>
      </c>
      <c r="F234" s="4">
        <v>14170</v>
      </c>
      <c r="G234" s="4">
        <v>146</v>
      </c>
      <c r="H234" s="4">
        <v>0</v>
      </c>
      <c r="I234" s="4">
        <v>0</v>
      </c>
      <c r="J234" s="4">
        <v>0</v>
      </c>
    </row>
    <row r="235" spans="1:10" x14ac:dyDescent="0.15">
      <c r="A235" s="4">
        <v>12</v>
      </c>
      <c r="B235" s="4">
        <v>234</v>
      </c>
      <c r="C235" s="4">
        <v>5317</v>
      </c>
      <c r="D235" s="5" t="s">
        <v>1203</v>
      </c>
      <c r="E235" s="6">
        <v>9898318</v>
      </c>
      <c r="F235" s="4">
        <v>4100</v>
      </c>
      <c r="G235" s="4">
        <v>67</v>
      </c>
      <c r="H235" s="4">
        <v>0</v>
      </c>
      <c r="I235" s="4">
        <v>0</v>
      </c>
      <c r="J235" s="4">
        <v>0</v>
      </c>
    </row>
    <row r="236" spans="1:10" x14ac:dyDescent="0.15">
      <c r="A236" s="4">
        <v>14</v>
      </c>
      <c r="B236" s="4">
        <v>235</v>
      </c>
      <c r="C236" s="4">
        <v>5294</v>
      </c>
      <c r="D236" s="5" t="s">
        <v>1204</v>
      </c>
      <c r="E236" s="6">
        <v>33668620</v>
      </c>
      <c r="F236" s="4">
        <v>16618</v>
      </c>
      <c r="G236" s="4">
        <v>232</v>
      </c>
      <c r="H236" s="4">
        <v>0</v>
      </c>
      <c r="I236" s="4">
        <v>0</v>
      </c>
      <c r="J236" s="4">
        <v>0</v>
      </c>
    </row>
    <row r="237" spans="1:10" x14ac:dyDescent="0.15">
      <c r="A237" s="4">
        <v>2</v>
      </c>
      <c r="B237" s="4">
        <v>236</v>
      </c>
      <c r="C237" s="4">
        <v>5279</v>
      </c>
      <c r="D237" s="5" t="s">
        <v>1205</v>
      </c>
      <c r="E237" s="6">
        <v>107924470</v>
      </c>
      <c r="F237" s="4">
        <v>11500</v>
      </c>
      <c r="G237" s="4">
        <v>497</v>
      </c>
      <c r="H237" s="4">
        <v>0</v>
      </c>
      <c r="I237" s="4">
        <v>0</v>
      </c>
      <c r="J237" s="4">
        <v>0</v>
      </c>
    </row>
    <row r="238" spans="1:10" x14ac:dyDescent="0.15">
      <c r="A238" s="4">
        <v>5</v>
      </c>
      <c r="B238" s="4">
        <v>237</v>
      </c>
      <c r="C238" s="4">
        <v>5275</v>
      </c>
      <c r="D238" s="5" t="s">
        <v>1206</v>
      </c>
      <c r="E238" s="6">
        <v>130000000</v>
      </c>
      <c r="F238" s="4">
        <v>50000</v>
      </c>
      <c r="G238" s="4">
        <v>900</v>
      </c>
      <c r="H238" s="4">
        <v>1</v>
      </c>
      <c r="I238" s="4">
        <v>0</v>
      </c>
      <c r="J238" s="4">
        <v>1</v>
      </c>
    </row>
    <row r="239" spans="1:10" x14ac:dyDescent="0.15">
      <c r="A239" s="4">
        <v>1</v>
      </c>
      <c r="B239" s="4">
        <v>238</v>
      </c>
      <c r="C239" s="4">
        <v>5256</v>
      </c>
      <c r="D239" s="5" t="s">
        <v>1207</v>
      </c>
      <c r="E239" s="6">
        <v>24166220</v>
      </c>
      <c r="F239" s="4">
        <v>10700</v>
      </c>
      <c r="G239" s="4">
        <v>182</v>
      </c>
      <c r="H239" s="4">
        <v>0</v>
      </c>
      <c r="I239" s="4">
        <v>0</v>
      </c>
      <c r="J239" s="4">
        <v>0</v>
      </c>
    </row>
    <row r="240" spans="1:10" x14ac:dyDescent="0.15">
      <c r="A240" s="4">
        <v>4</v>
      </c>
      <c r="B240" s="4">
        <v>239</v>
      </c>
      <c r="C240" s="4">
        <v>5253</v>
      </c>
      <c r="D240" s="5" t="s">
        <v>1208</v>
      </c>
      <c r="E240" s="6">
        <v>40000000</v>
      </c>
      <c r="F240" s="4">
        <v>5800</v>
      </c>
      <c r="G240" s="4">
        <v>131</v>
      </c>
      <c r="H240" s="4">
        <v>0</v>
      </c>
      <c r="I240" s="4">
        <v>0</v>
      </c>
      <c r="J240" s="4">
        <v>1</v>
      </c>
    </row>
    <row r="241" spans="1:10" x14ac:dyDescent="0.15">
      <c r="A241" s="4">
        <v>13</v>
      </c>
      <c r="B241" s="4">
        <v>240</v>
      </c>
      <c r="C241" s="4">
        <v>5237</v>
      </c>
      <c r="D241" s="5" t="s">
        <v>1209</v>
      </c>
      <c r="E241" s="6">
        <v>35019837</v>
      </c>
      <c r="F241" s="4">
        <v>12800</v>
      </c>
      <c r="G241" s="4">
        <v>117</v>
      </c>
      <c r="H241" s="4">
        <v>0</v>
      </c>
      <c r="I241" s="4">
        <v>1</v>
      </c>
      <c r="J241" s="4">
        <v>0</v>
      </c>
    </row>
    <row r="242" spans="1:10" x14ac:dyDescent="0.15">
      <c r="A242" s="4">
        <v>12</v>
      </c>
      <c r="B242" s="4">
        <v>241</v>
      </c>
      <c r="C242" s="4">
        <v>5222</v>
      </c>
      <c r="D242" s="5" t="s">
        <v>1210</v>
      </c>
      <c r="E242" s="6">
        <v>6868221</v>
      </c>
      <c r="F242" s="4">
        <v>5300</v>
      </c>
      <c r="G242" s="4">
        <v>36</v>
      </c>
      <c r="H242" s="4">
        <v>0</v>
      </c>
      <c r="I242" s="4">
        <v>0</v>
      </c>
      <c r="J242" s="4">
        <v>0</v>
      </c>
    </row>
    <row r="243" spans="1:10" x14ac:dyDescent="0.15">
      <c r="A243" s="4">
        <v>2</v>
      </c>
      <c r="B243" s="4">
        <v>242</v>
      </c>
      <c r="C243" s="4">
        <v>5214</v>
      </c>
      <c r="D243" s="5" t="s">
        <v>1211</v>
      </c>
      <c r="E243" s="6">
        <v>115400000</v>
      </c>
      <c r="F243" s="4">
        <v>20300</v>
      </c>
      <c r="G243" s="4">
        <v>750</v>
      </c>
      <c r="H243" s="4">
        <v>0</v>
      </c>
      <c r="I243" s="4">
        <v>0</v>
      </c>
      <c r="J243" s="4">
        <v>1</v>
      </c>
    </row>
    <row r="244" spans="1:10" x14ac:dyDescent="0.15">
      <c r="A244" s="4">
        <v>17</v>
      </c>
      <c r="B244" s="4">
        <v>243</v>
      </c>
      <c r="C244" s="4">
        <v>5180</v>
      </c>
      <c r="D244" s="5" t="s">
        <v>1212</v>
      </c>
      <c r="E244" s="6">
        <v>95000000</v>
      </c>
      <c r="F244" s="4">
        <v>105900</v>
      </c>
      <c r="G244" s="4">
        <v>450</v>
      </c>
      <c r="H244" s="4">
        <v>0</v>
      </c>
      <c r="I244" s="4">
        <v>0</v>
      </c>
      <c r="J244" s="4">
        <v>1</v>
      </c>
    </row>
    <row r="245" spans="1:10" x14ac:dyDescent="0.15">
      <c r="A245" s="4">
        <v>12</v>
      </c>
      <c r="B245" s="4">
        <v>244</v>
      </c>
      <c r="C245" s="4">
        <v>5151</v>
      </c>
      <c r="D245" s="5" t="s">
        <v>1213</v>
      </c>
      <c r="E245" s="6">
        <v>11403500</v>
      </c>
      <c r="F245" s="4">
        <v>12000</v>
      </c>
      <c r="G245" s="4">
        <v>82</v>
      </c>
      <c r="H245" s="4">
        <v>0</v>
      </c>
      <c r="I245" s="4">
        <v>0</v>
      </c>
      <c r="J245" s="4">
        <v>1</v>
      </c>
    </row>
    <row r="246" spans="1:10" x14ac:dyDescent="0.15">
      <c r="A246" s="4">
        <v>20</v>
      </c>
      <c r="B246" s="4">
        <v>245</v>
      </c>
      <c r="C246" s="4">
        <v>5088</v>
      </c>
      <c r="D246" s="5" t="s">
        <v>1214</v>
      </c>
      <c r="E246" s="6">
        <v>125000000</v>
      </c>
      <c r="F246" s="4">
        <v>16037</v>
      </c>
      <c r="G246" s="4">
        <v>620</v>
      </c>
      <c r="H246" s="4">
        <v>1</v>
      </c>
      <c r="I246" s="4">
        <v>0</v>
      </c>
      <c r="J246" s="4">
        <v>1</v>
      </c>
    </row>
    <row r="247" spans="1:10" x14ac:dyDescent="0.15">
      <c r="A247" s="4">
        <v>17</v>
      </c>
      <c r="B247" s="4">
        <v>246</v>
      </c>
      <c r="C247" s="4">
        <v>5031</v>
      </c>
      <c r="D247" s="5" t="s">
        <v>1215</v>
      </c>
      <c r="E247" s="6">
        <v>45139461</v>
      </c>
      <c r="F247" s="4">
        <v>67300</v>
      </c>
      <c r="G247" s="4">
        <v>274</v>
      </c>
      <c r="H247" s="4">
        <v>0</v>
      </c>
      <c r="I247" s="4">
        <v>0</v>
      </c>
      <c r="J247" s="4">
        <v>1</v>
      </c>
    </row>
    <row r="248" spans="1:10" x14ac:dyDescent="0.15">
      <c r="A248" s="4">
        <v>15</v>
      </c>
      <c r="B248" s="4">
        <v>247</v>
      </c>
      <c r="C248" s="4">
        <v>5029</v>
      </c>
      <c r="D248" s="5" t="s">
        <v>1216</v>
      </c>
      <c r="E248" s="6">
        <v>229000000</v>
      </c>
      <c r="F248" s="4">
        <v>37100</v>
      </c>
      <c r="G248" s="4">
        <v>928</v>
      </c>
      <c r="H248" s="4">
        <v>0</v>
      </c>
      <c r="I248" s="4">
        <v>0</v>
      </c>
      <c r="J248" s="4">
        <v>1</v>
      </c>
    </row>
    <row r="249" spans="1:10" x14ac:dyDescent="0.15">
      <c r="A249" s="4">
        <v>18</v>
      </c>
      <c r="B249" s="4">
        <v>248</v>
      </c>
      <c r="C249" s="4">
        <v>4995</v>
      </c>
      <c r="D249" s="5" t="s">
        <v>1217</v>
      </c>
      <c r="E249" s="6">
        <v>750000000</v>
      </c>
      <c r="F249" s="4">
        <v>60000</v>
      </c>
      <c r="G249" s="4">
        <v>2300</v>
      </c>
      <c r="H249" s="4">
        <v>0</v>
      </c>
      <c r="I249" s="4">
        <v>0</v>
      </c>
      <c r="J249" s="4">
        <v>1</v>
      </c>
    </row>
    <row r="250" spans="1:10" x14ac:dyDescent="0.15">
      <c r="A250" s="4">
        <v>9</v>
      </c>
      <c r="B250" s="4">
        <v>249</v>
      </c>
      <c r="C250" s="4">
        <v>4984</v>
      </c>
      <c r="D250" s="5" t="s">
        <v>1218</v>
      </c>
      <c r="E250" s="4" t="s">
        <v>63</v>
      </c>
      <c r="F250" s="4">
        <v>35700</v>
      </c>
      <c r="G250" s="4" t="s">
        <v>63</v>
      </c>
      <c r="H250" s="4">
        <v>0</v>
      </c>
      <c r="I250" s="4">
        <v>0</v>
      </c>
      <c r="J250" s="4">
        <v>1</v>
      </c>
    </row>
    <row r="251" spans="1:10" x14ac:dyDescent="0.15">
      <c r="A251" s="4">
        <v>2</v>
      </c>
      <c r="B251" s="4">
        <v>250</v>
      </c>
      <c r="C251" s="4">
        <v>4973</v>
      </c>
      <c r="D251" s="5" t="s">
        <v>1219</v>
      </c>
      <c r="E251" s="6">
        <v>170000000</v>
      </c>
      <c r="F251" s="4">
        <v>13000</v>
      </c>
      <c r="G251" s="4">
        <v>600</v>
      </c>
      <c r="H251" s="4">
        <v>0</v>
      </c>
      <c r="I251" s="4">
        <v>0</v>
      </c>
      <c r="J251" s="4">
        <v>1</v>
      </c>
    </row>
    <row r="252" spans="1:10" x14ac:dyDescent="0.15">
      <c r="A252" s="4">
        <v>13</v>
      </c>
      <c r="B252" s="4">
        <v>251</v>
      </c>
      <c r="C252" s="4">
        <v>4958</v>
      </c>
      <c r="D252" s="5" t="s">
        <v>1220</v>
      </c>
      <c r="E252" s="6">
        <v>20000000</v>
      </c>
      <c r="F252" s="4">
        <v>9900</v>
      </c>
      <c r="G252" s="4">
        <v>110</v>
      </c>
      <c r="H252" s="4">
        <v>0</v>
      </c>
      <c r="I252" s="4">
        <v>1</v>
      </c>
      <c r="J252" s="4">
        <v>1</v>
      </c>
    </row>
    <row r="253" spans="1:10" x14ac:dyDescent="0.15">
      <c r="A253" s="4">
        <v>12</v>
      </c>
      <c r="B253" s="4">
        <v>252</v>
      </c>
      <c r="C253" s="4">
        <v>4913</v>
      </c>
      <c r="D253" s="5" t="s">
        <v>1221</v>
      </c>
      <c r="E253" s="6">
        <v>25000000</v>
      </c>
      <c r="F253" s="4">
        <v>9000</v>
      </c>
      <c r="G253" s="4">
        <v>105</v>
      </c>
      <c r="H253" s="4">
        <v>0</v>
      </c>
      <c r="I253" s="4">
        <v>0</v>
      </c>
      <c r="J253" s="4">
        <v>1</v>
      </c>
    </row>
    <row r="254" spans="1:10" x14ac:dyDescent="0.15">
      <c r="A254" s="4">
        <v>14</v>
      </c>
      <c r="B254" s="4">
        <v>253</v>
      </c>
      <c r="C254" s="4">
        <v>4913</v>
      </c>
      <c r="D254" s="5" t="s">
        <v>1222</v>
      </c>
      <c r="E254" s="6">
        <v>25339114</v>
      </c>
      <c r="F254" s="4">
        <v>14799</v>
      </c>
      <c r="G254" s="4">
        <v>130</v>
      </c>
      <c r="H254" s="4">
        <v>0</v>
      </c>
      <c r="I254" s="4">
        <v>0</v>
      </c>
      <c r="J254" s="4">
        <v>0</v>
      </c>
    </row>
    <row r="255" spans="1:10" x14ac:dyDescent="0.15">
      <c r="A255" s="4">
        <v>5</v>
      </c>
      <c r="B255" s="4">
        <v>254</v>
      </c>
      <c r="C255" s="4">
        <v>4895</v>
      </c>
      <c r="D255" s="5" t="s">
        <v>1223</v>
      </c>
      <c r="E255" s="6">
        <v>62663785</v>
      </c>
      <c r="F255" s="4">
        <v>25025</v>
      </c>
      <c r="G255" s="4">
        <v>265</v>
      </c>
      <c r="H255" s="4">
        <v>0</v>
      </c>
      <c r="I255" s="4">
        <v>0</v>
      </c>
      <c r="J255" s="4">
        <v>0</v>
      </c>
    </row>
    <row r="256" spans="1:10" x14ac:dyDescent="0.15">
      <c r="A256" s="4">
        <v>1</v>
      </c>
      <c r="B256" s="4">
        <v>255</v>
      </c>
      <c r="C256" s="4">
        <v>4892</v>
      </c>
      <c r="D256" s="5" t="s">
        <v>1224</v>
      </c>
      <c r="E256" s="6">
        <v>78034855</v>
      </c>
      <c r="F256" s="4">
        <v>11800</v>
      </c>
      <c r="G256" s="4">
        <v>588</v>
      </c>
      <c r="H256" s="4">
        <v>0</v>
      </c>
      <c r="I256" s="4">
        <v>0</v>
      </c>
      <c r="J256" s="4">
        <v>0</v>
      </c>
    </row>
    <row r="257" spans="1:10" x14ac:dyDescent="0.15">
      <c r="A257" s="4">
        <v>16</v>
      </c>
      <c r="B257" s="4">
        <v>256</v>
      </c>
      <c r="C257" s="4">
        <v>4890</v>
      </c>
      <c r="D257" s="5" t="s">
        <v>1225</v>
      </c>
      <c r="E257" s="6">
        <v>169317182</v>
      </c>
      <c r="F257" s="4">
        <v>29400</v>
      </c>
      <c r="G257" s="4">
        <v>695</v>
      </c>
      <c r="H257" s="4">
        <v>0</v>
      </c>
      <c r="I257" s="4">
        <v>0</v>
      </c>
      <c r="J257" s="4">
        <v>0</v>
      </c>
    </row>
    <row r="258" spans="1:10" x14ac:dyDescent="0.15">
      <c r="A258" s="4">
        <v>15</v>
      </c>
      <c r="B258" s="4">
        <v>257</v>
      </c>
      <c r="C258" s="4">
        <v>4881</v>
      </c>
      <c r="D258" s="5" t="s">
        <v>1226</v>
      </c>
      <c r="E258" s="6">
        <v>222659722</v>
      </c>
      <c r="F258" s="4">
        <v>49464</v>
      </c>
      <c r="G258" s="4">
        <v>1506</v>
      </c>
      <c r="H258" s="4">
        <v>0</v>
      </c>
      <c r="I258" s="4">
        <v>0</v>
      </c>
      <c r="J258" s="4">
        <v>0</v>
      </c>
    </row>
    <row r="259" spans="1:10" x14ac:dyDescent="0.15">
      <c r="A259" s="4">
        <v>12</v>
      </c>
      <c r="B259" s="4">
        <v>258</v>
      </c>
      <c r="C259" s="4">
        <v>4880</v>
      </c>
      <c r="D259" s="5" t="s">
        <v>1227</v>
      </c>
      <c r="E259" s="6">
        <v>13799569</v>
      </c>
      <c r="F259" s="4">
        <v>8500</v>
      </c>
      <c r="G259" s="4">
        <v>94</v>
      </c>
      <c r="H259" s="4">
        <v>0</v>
      </c>
      <c r="I259" s="4">
        <v>0</v>
      </c>
      <c r="J259" s="4">
        <v>0</v>
      </c>
    </row>
    <row r="260" spans="1:10" x14ac:dyDescent="0.15">
      <c r="A260" s="4">
        <v>16</v>
      </c>
      <c r="B260" s="4">
        <v>259</v>
      </c>
      <c r="C260" s="4">
        <v>4865</v>
      </c>
      <c r="D260" s="5" t="s">
        <v>1228</v>
      </c>
      <c r="E260" s="4" t="s">
        <v>63</v>
      </c>
      <c r="F260" s="4" t="s">
        <v>63</v>
      </c>
      <c r="G260" s="4" t="s">
        <v>63</v>
      </c>
      <c r="H260" s="4">
        <v>0</v>
      </c>
      <c r="I260" s="4">
        <v>0</v>
      </c>
      <c r="J260" s="4">
        <v>1</v>
      </c>
    </row>
    <row r="261" spans="1:10" x14ac:dyDescent="0.15">
      <c r="A261" s="4">
        <v>12</v>
      </c>
      <c r="B261" s="4">
        <v>260</v>
      </c>
      <c r="C261" s="4">
        <v>4852</v>
      </c>
      <c r="D261" s="5" t="s">
        <v>1229</v>
      </c>
      <c r="E261" s="4" t="s">
        <v>63</v>
      </c>
      <c r="F261" s="4" t="s">
        <v>63</v>
      </c>
      <c r="G261" s="4" t="s">
        <v>63</v>
      </c>
      <c r="H261" s="4">
        <v>0</v>
      </c>
      <c r="I261" s="4">
        <v>0</v>
      </c>
      <c r="J261" s="4">
        <v>1</v>
      </c>
    </row>
    <row r="262" spans="1:10" x14ac:dyDescent="0.15">
      <c r="A262" s="4">
        <v>13</v>
      </c>
      <c r="B262" s="4">
        <v>261</v>
      </c>
      <c r="C262" s="4">
        <v>4835</v>
      </c>
      <c r="D262" s="5" t="s">
        <v>1230</v>
      </c>
      <c r="E262" s="6">
        <v>16210930</v>
      </c>
      <c r="F262" s="4">
        <v>7000</v>
      </c>
      <c r="G262" s="4">
        <v>92</v>
      </c>
      <c r="H262" s="4">
        <v>0</v>
      </c>
      <c r="I262" s="4">
        <v>0</v>
      </c>
      <c r="J262" s="4">
        <v>0</v>
      </c>
    </row>
    <row r="263" spans="1:10" x14ac:dyDescent="0.15">
      <c r="A263" s="4">
        <v>17</v>
      </c>
      <c r="B263" s="4">
        <v>262</v>
      </c>
      <c r="C263" s="4">
        <v>4777</v>
      </c>
      <c r="D263" s="5" t="s">
        <v>1231</v>
      </c>
      <c r="E263" s="6">
        <v>116744690</v>
      </c>
      <c r="F263" s="4">
        <v>14500</v>
      </c>
      <c r="G263" s="4">
        <v>849</v>
      </c>
      <c r="H263" s="4">
        <v>0</v>
      </c>
      <c r="I263" s="4">
        <v>0</v>
      </c>
      <c r="J263" s="4">
        <v>1</v>
      </c>
    </row>
    <row r="264" spans="1:10" x14ac:dyDescent="0.15">
      <c r="A264" s="4">
        <v>8</v>
      </c>
      <c r="B264" s="4">
        <v>263</v>
      </c>
      <c r="C264" s="4">
        <v>4771</v>
      </c>
      <c r="D264" s="5" t="s">
        <v>1232</v>
      </c>
      <c r="E264" s="6">
        <v>261434912</v>
      </c>
      <c r="F264" s="4">
        <v>14400</v>
      </c>
      <c r="G264" s="4">
        <v>837</v>
      </c>
      <c r="H264" s="4">
        <v>0</v>
      </c>
      <c r="I264" s="4">
        <v>0</v>
      </c>
      <c r="J264" s="4">
        <v>0</v>
      </c>
    </row>
    <row r="265" spans="1:10" x14ac:dyDescent="0.15">
      <c r="A265" s="4">
        <v>1</v>
      </c>
      <c r="B265" s="4">
        <v>264</v>
      </c>
      <c r="C265" s="4">
        <v>4742</v>
      </c>
      <c r="D265" s="5" t="s">
        <v>1233</v>
      </c>
      <c r="E265" s="6">
        <v>36000000</v>
      </c>
      <c r="F265" s="4">
        <v>18000</v>
      </c>
      <c r="G265" s="4">
        <v>325</v>
      </c>
      <c r="H265" s="4">
        <v>0</v>
      </c>
      <c r="I265" s="4">
        <v>0</v>
      </c>
      <c r="J265" s="4">
        <v>1</v>
      </c>
    </row>
    <row r="266" spans="1:10" x14ac:dyDescent="0.15">
      <c r="A266" s="4">
        <v>12</v>
      </c>
      <c r="B266" s="4">
        <v>265</v>
      </c>
      <c r="C266" s="4">
        <v>4720</v>
      </c>
      <c r="D266" s="5" t="s">
        <v>1234</v>
      </c>
      <c r="E266" s="6">
        <v>16000000</v>
      </c>
      <c r="F266" s="4">
        <v>5500</v>
      </c>
      <c r="G266" s="4">
        <v>150</v>
      </c>
      <c r="H266" s="4">
        <v>0</v>
      </c>
      <c r="I266" s="4">
        <v>0</v>
      </c>
      <c r="J266" s="4">
        <v>1</v>
      </c>
    </row>
    <row r="267" spans="1:10" x14ac:dyDescent="0.15">
      <c r="A267" s="4">
        <v>17</v>
      </c>
      <c r="B267" s="4">
        <v>266</v>
      </c>
      <c r="C267" s="4">
        <v>4674</v>
      </c>
      <c r="D267" s="5" t="s">
        <v>1235</v>
      </c>
      <c r="E267" s="6">
        <v>61260697</v>
      </c>
      <c r="F267" s="4">
        <v>111082</v>
      </c>
      <c r="G267" s="4">
        <v>372</v>
      </c>
      <c r="H267" s="4">
        <v>0</v>
      </c>
      <c r="I267" s="4">
        <v>0</v>
      </c>
      <c r="J267" s="4">
        <v>1</v>
      </c>
    </row>
    <row r="268" spans="1:10" x14ac:dyDescent="0.15">
      <c r="A268" s="4">
        <v>2</v>
      </c>
      <c r="B268" s="4">
        <v>267</v>
      </c>
      <c r="C268" s="4">
        <v>4655</v>
      </c>
      <c r="D268" s="5" t="s">
        <v>1236</v>
      </c>
      <c r="E268" s="6">
        <v>87541995</v>
      </c>
      <c r="F268" s="4">
        <v>13330</v>
      </c>
      <c r="G268" s="4">
        <v>512</v>
      </c>
      <c r="H268" s="4">
        <v>0</v>
      </c>
      <c r="I268" s="4">
        <v>0</v>
      </c>
      <c r="J268" s="4">
        <v>0</v>
      </c>
    </row>
    <row r="269" spans="1:10" x14ac:dyDescent="0.15">
      <c r="A269" s="4">
        <v>12</v>
      </c>
      <c r="B269" s="4">
        <v>268</v>
      </c>
      <c r="C269" s="4">
        <v>4645</v>
      </c>
      <c r="D269" s="5" t="s">
        <v>1237</v>
      </c>
      <c r="E269" s="6">
        <v>21488441</v>
      </c>
      <c r="F269" s="4">
        <v>12700</v>
      </c>
      <c r="G269" s="4">
        <v>146</v>
      </c>
      <c r="H269" s="4">
        <v>0</v>
      </c>
      <c r="I269" s="4">
        <v>0</v>
      </c>
      <c r="J269" s="4">
        <v>0</v>
      </c>
    </row>
    <row r="270" spans="1:10" x14ac:dyDescent="0.15">
      <c r="A270" s="4">
        <v>14</v>
      </c>
      <c r="B270" s="4">
        <v>269</v>
      </c>
      <c r="C270" s="4">
        <v>4644</v>
      </c>
      <c r="D270" s="5" t="s">
        <v>1238</v>
      </c>
      <c r="E270" s="6">
        <v>6306000</v>
      </c>
      <c r="F270" s="4">
        <v>180</v>
      </c>
      <c r="G270" s="4">
        <v>45</v>
      </c>
      <c r="H270" s="4">
        <v>0</v>
      </c>
      <c r="I270" s="4">
        <v>0</v>
      </c>
      <c r="J270" s="4">
        <v>1</v>
      </c>
    </row>
    <row r="271" spans="1:10" x14ac:dyDescent="0.15">
      <c r="A271" s="4">
        <v>3</v>
      </c>
      <c r="B271" s="4">
        <v>270</v>
      </c>
      <c r="C271" s="4">
        <v>4642</v>
      </c>
      <c r="D271" s="5" t="s">
        <v>1239</v>
      </c>
      <c r="E271" s="6">
        <v>159000000</v>
      </c>
      <c r="F271" s="4">
        <v>12000</v>
      </c>
      <c r="G271" s="4">
        <v>400</v>
      </c>
      <c r="H271" s="4">
        <v>0</v>
      </c>
      <c r="I271" s="4">
        <v>0</v>
      </c>
      <c r="J271" s="4">
        <v>1</v>
      </c>
    </row>
    <row r="272" spans="1:10" x14ac:dyDescent="0.15">
      <c r="A272" s="4">
        <v>12</v>
      </c>
      <c r="B272" s="4">
        <v>271</v>
      </c>
      <c r="C272" s="4">
        <v>4640</v>
      </c>
      <c r="D272" s="5" t="s">
        <v>1240</v>
      </c>
      <c r="E272" s="6">
        <v>24026148</v>
      </c>
      <c r="F272" s="4">
        <v>15985</v>
      </c>
      <c r="G272" s="4">
        <v>164</v>
      </c>
      <c r="H272" s="4">
        <v>0</v>
      </c>
      <c r="I272" s="4">
        <v>0</v>
      </c>
      <c r="J272" s="4">
        <v>0</v>
      </c>
    </row>
    <row r="273" spans="1:10" x14ac:dyDescent="0.15">
      <c r="A273" s="4">
        <v>15</v>
      </c>
      <c r="B273" s="4">
        <v>272</v>
      </c>
      <c r="C273" s="4">
        <v>4627</v>
      </c>
      <c r="D273" s="5" t="s">
        <v>1241</v>
      </c>
      <c r="E273" s="6">
        <v>243623708</v>
      </c>
      <c r="F273" s="4">
        <v>40500</v>
      </c>
      <c r="G273" s="4">
        <v>1329</v>
      </c>
      <c r="H273" s="4">
        <v>0</v>
      </c>
      <c r="I273" s="4">
        <v>1</v>
      </c>
      <c r="J273" s="4">
        <v>0</v>
      </c>
    </row>
    <row r="274" spans="1:10" x14ac:dyDescent="0.15">
      <c r="A274" s="4">
        <v>12</v>
      </c>
      <c r="B274" s="4">
        <v>273</v>
      </c>
      <c r="C274" s="4">
        <v>4620</v>
      </c>
      <c r="D274" s="5" t="s">
        <v>1242</v>
      </c>
      <c r="E274" s="6">
        <v>8913537</v>
      </c>
      <c r="F274" s="4">
        <v>12000</v>
      </c>
      <c r="G274" s="4">
        <v>61</v>
      </c>
      <c r="H274" s="4">
        <v>0</v>
      </c>
      <c r="I274" s="4">
        <v>0</v>
      </c>
      <c r="J274" s="4">
        <v>0</v>
      </c>
    </row>
    <row r="275" spans="1:10" x14ac:dyDescent="0.15">
      <c r="A275" s="4">
        <v>13</v>
      </c>
      <c r="B275" s="4">
        <v>274</v>
      </c>
      <c r="C275" s="4">
        <v>4612</v>
      </c>
      <c r="D275" s="5" t="s">
        <v>1243</v>
      </c>
      <c r="E275" s="6">
        <v>24185550</v>
      </c>
      <c r="F275" s="4">
        <v>16100</v>
      </c>
      <c r="G275" s="4">
        <v>137</v>
      </c>
      <c r="H275" s="4">
        <v>0</v>
      </c>
      <c r="I275" s="4">
        <v>0</v>
      </c>
      <c r="J275" s="4">
        <v>0</v>
      </c>
    </row>
    <row r="276" spans="1:10" x14ac:dyDescent="0.15">
      <c r="A276" s="4">
        <v>17</v>
      </c>
      <c r="B276" s="4">
        <v>275</v>
      </c>
      <c r="C276" s="4">
        <v>4610</v>
      </c>
      <c r="D276" s="5" t="s">
        <v>1244</v>
      </c>
      <c r="E276" s="6">
        <v>66346757</v>
      </c>
      <c r="F276" s="4">
        <v>113000</v>
      </c>
      <c r="G276" s="4">
        <v>403</v>
      </c>
      <c r="H276" s="4">
        <v>0</v>
      </c>
      <c r="I276" s="4">
        <v>0</v>
      </c>
      <c r="J276" s="4">
        <v>1</v>
      </c>
    </row>
    <row r="277" spans="1:10" x14ac:dyDescent="0.15">
      <c r="A277" s="4">
        <v>9</v>
      </c>
      <c r="B277" s="4">
        <v>276</v>
      </c>
      <c r="C277" s="4">
        <v>4608</v>
      </c>
      <c r="D277" s="5" t="s">
        <v>1245</v>
      </c>
      <c r="E277" s="6">
        <v>154518239</v>
      </c>
      <c r="F277" s="4">
        <v>27000</v>
      </c>
      <c r="G277" s="4">
        <v>1233</v>
      </c>
      <c r="H277" s="4">
        <v>0</v>
      </c>
      <c r="I277" s="4">
        <v>0</v>
      </c>
      <c r="J277" s="4">
        <v>0</v>
      </c>
    </row>
    <row r="278" spans="1:10" x14ac:dyDescent="0.15">
      <c r="A278" s="4">
        <v>17</v>
      </c>
      <c r="B278" s="4">
        <v>277</v>
      </c>
      <c r="C278" s="4">
        <v>4599</v>
      </c>
      <c r="D278" s="5" t="s">
        <v>1246</v>
      </c>
      <c r="E278" s="6">
        <v>452000000</v>
      </c>
      <c r="F278" s="4">
        <v>622000</v>
      </c>
      <c r="G278" s="4">
        <v>1150</v>
      </c>
      <c r="H278" s="4">
        <v>1</v>
      </c>
      <c r="I278" s="4">
        <v>0</v>
      </c>
      <c r="J278" s="4">
        <v>1</v>
      </c>
    </row>
    <row r="279" spans="1:10" x14ac:dyDescent="0.15">
      <c r="A279" s="4">
        <v>12</v>
      </c>
      <c r="B279" s="4">
        <v>278</v>
      </c>
      <c r="C279" s="4">
        <v>4594</v>
      </c>
      <c r="D279" s="5" t="s">
        <v>1247</v>
      </c>
      <c r="E279" s="6">
        <v>23937770</v>
      </c>
      <c r="F279" s="4" t="s">
        <v>63</v>
      </c>
      <c r="G279" s="4">
        <v>163</v>
      </c>
      <c r="H279" s="4">
        <v>0</v>
      </c>
      <c r="I279" s="4">
        <v>0</v>
      </c>
      <c r="J279" s="4">
        <v>0</v>
      </c>
    </row>
    <row r="280" spans="1:10" x14ac:dyDescent="0.15">
      <c r="A280" s="4">
        <v>19</v>
      </c>
      <c r="B280" s="4">
        <v>279</v>
      </c>
      <c r="C280" s="4">
        <v>4585</v>
      </c>
      <c r="D280" s="5" t="s">
        <v>1248</v>
      </c>
      <c r="E280" s="6">
        <v>105000000</v>
      </c>
      <c r="F280" s="4">
        <v>43000</v>
      </c>
      <c r="G280" s="4">
        <v>700</v>
      </c>
      <c r="H280" s="4">
        <v>0</v>
      </c>
      <c r="I280" s="4">
        <v>1</v>
      </c>
      <c r="J280" s="4">
        <v>1</v>
      </c>
    </row>
    <row r="281" spans="1:10" x14ac:dyDescent="0.15">
      <c r="A281" s="4">
        <v>4</v>
      </c>
      <c r="B281" s="4">
        <v>280</v>
      </c>
      <c r="C281" s="4">
        <v>4582</v>
      </c>
      <c r="D281" s="5" t="s">
        <v>1249</v>
      </c>
      <c r="E281" s="6">
        <v>73858199</v>
      </c>
      <c r="F281" s="4">
        <v>32539</v>
      </c>
      <c r="G281" s="4">
        <v>923</v>
      </c>
      <c r="H281" s="4">
        <v>0</v>
      </c>
      <c r="I281" s="4">
        <v>0</v>
      </c>
      <c r="J281" s="4">
        <v>0</v>
      </c>
    </row>
    <row r="282" spans="1:10" x14ac:dyDescent="0.15">
      <c r="A282" s="4">
        <v>2</v>
      </c>
      <c r="B282" s="4">
        <v>281</v>
      </c>
      <c r="C282" s="4">
        <v>4567</v>
      </c>
      <c r="D282" s="5" t="s">
        <v>1250</v>
      </c>
      <c r="E282" s="6">
        <v>134733386</v>
      </c>
      <c r="F282" s="4">
        <v>21100</v>
      </c>
      <c r="G282" s="4">
        <v>1067</v>
      </c>
      <c r="H282" s="4">
        <v>0</v>
      </c>
      <c r="I282" s="4">
        <v>0</v>
      </c>
      <c r="J282" s="4">
        <v>0</v>
      </c>
    </row>
    <row r="283" spans="1:10" x14ac:dyDescent="0.15">
      <c r="A283" s="4">
        <v>15</v>
      </c>
      <c r="B283" s="4">
        <v>282</v>
      </c>
      <c r="C283" s="4">
        <v>4548</v>
      </c>
      <c r="D283" s="5" t="s">
        <v>1251</v>
      </c>
      <c r="E283" s="6">
        <v>105000000</v>
      </c>
      <c r="F283" s="4">
        <v>81678</v>
      </c>
      <c r="G283" s="4">
        <v>435</v>
      </c>
      <c r="H283" s="4">
        <v>1</v>
      </c>
      <c r="I283" s="4">
        <v>0</v>
      </c>
      <c r="J283" s="4">
        <v>1</v>
      </c>
    </row>
    <row r="284" spans="1:10" x14ac:dyDescent="0.15">
      <c r="A284" s="4">
        <v>12</v>
      </c>
      <c r="B284" s="4">
        <v>283</v>
      </c>
      <c r="C284" s="4">
        <v>4545</v>
      </c>
      <c r="D284" s="5" t="s">
        <v>1252</v>
      </c>
      <c r="E284" s="6">
        <v>34164349</v>
      </c>
      <c r="F284" s="4">
        <v>14000</v>
      </c>
      <c r="G284" s="4">
        <v>150</v>
      </c>
      <c r="H284" s="4">
        <v>0</v>
      </c>
      <c r="I284" s="4">
        <v>0</v>
      </c>
      <c r="J284" s="4">
        <v>0</v>
      </c>
    </row>
    <row r="285" spans="1:10" x14ac:dyDescent="0.15">
      <c r="A285" s="4">
        <v>1</v>
      </c>
      <c r="B285" s="4">
        <v>284</v>
      </c>
      <c r="C285" s="4">
        <v>4539</v>
      </c>
      <c r="D285" s="5" t="s">
        <v>1253</v>
      </c>
      <c r="E285" s="6">
        <v>24402965</v>
      </c>
      <c r="F285" s="4">
        <v>15000</v>
      </c>
      <c r="G285" s="4">
        <v>184</v>
      </c>
      <c r="H285" s="4">
        <v>0</v>
      </c>
      <c r="I285" s="4">
        <v>0</v>
      </c>
      <c r="J285" s="4">
        <v>0</v>
      </c>
    </row>
    <row r="286" spans="1:10" x14ac:dyDescent="0.15">
      <c r="A286" s="4">
        <v>6</v>
      </c>
      <c r="B286" s="4">
        <v>285</v>
      </c>
      <c r="C286" s="4">
        <v>4537</v>
      </c>
      <c r="D286" s="5" t="s">
        <v>1254</v>
      </c>
      <c r="E286" s="6">
        <v>500000000</v>
      </c>
      <c r="F286" s="4">
        <v>30000</v>
      </c>
      <c r="G286" s="4">
        <v>2000</v>
      </c>
      <c r="H286" s="4">
        <v>1</v>
      </c>
      <c r="I286" s="4">
        <v>1</v>
      </c>
      <c r="J286" s="4">
        <v>1</v>
      </c>
    </row>
    <row r="287" spans="1:10" x14ac:dyDescent="0.15">
      <c r="A287" s="4">
        <v>19</v>
      </c>
      <c r="B287" s="4">
        <v>286</v>
      </c>
      <c r="C287" s="4">
        <v>4526</v>
      </c>
      <c r="D287" s="5" t="s">
        <v>1255</v>
      </c>
      <c r="E287" s="6">
        <v>190000000</v>
      </c>
      <c r="F287" s="4">
        <v>57000</v>
      </c>
      <c r="G287" s="4">
        <v>1100</v>
      </c>
      <c r="H287" s="4">
        <v>1</v>
      </c>
      <c r="I287" s="4">
        <v>1</v>
      </c>
      <c r="J287" s="4">
        <v>1</v>
      </c>
    </row>
    <row r="288" spans="1:10" x14ac:dyDescent="0.15">
      <c r="A288" s="4">
        <v>8</v>
      </c>
      <c r="B288" s="4">
        <v>287</v>
      </c>
      <c r="C288" s="4">
        <v>4509</v>
      </c>
      <c r="D288" s="5" t="s">
        <v>1256</v>
      </c>
      <c r="E288" s="6">
        <v>120000000</v>
      </c>
      <c r="F288" s="4">
        <v>8530</v>
      </c>
      <c r="G288" s="4">
        <v>895</v>
      </c>
      <c r="H288" s="4">
        <v>0</v>
      </c>
      <c r="I288" s="4">
        <v>0</v>
      </c>
      <c r="J288" s="4">
        <v>1</v>
      </c>
    </row>
    <row r="289" spans="1:10" x14ac:dyDescent="0.15">
      <c r="A289" s="4">
        <v>1</v>
      </c>
      <c r="B289" s="4">
        <v>288</v>
      </c>
      <c r="C289" s="4">
        <v>4490</v>
      </c>
      <c r="D289" s="5" t="s">
        <v>1257</v>
      </c>
      <c r="E289" s="6">
        <v>92000000</v>
      </c>
      <c r="F289" s="4">
        <v>13612</v>
      </c>
      <c r="G289" s="4">
        <v>500</v>
      </c>
      <c r="H289" s="4">
        <v>0</v>
      </c>
      <c r="I289" s="4">
        <v>0</v>
      </c>
      <c r="J289" s="4">
        <v>1</v>
      </c>
    </row>
    <row r="290" spans="1:10" x14ac:dyDescent="0.15">
      <c r="A290" s="4">
        <v>2</v>
      </c>
      <c r="B290" s="4">
        <v>289</v>
      </c>
      <c r="C290" s="4">
        <v>4490</v>
      </c>
      <c r="D290" s="5" t="s">
        <v>1258</v>
      </c>
      <c r="E290" s="6">
        <v>169169651</v>
      </c>
      <c r="F290" s="4">
        <v>17836</v>
      </c>
      <c r="G290" s="4">
        <v>779</v>
      </c>
      <c r="H290" s="4">
        <v>0</v>
      </c>
      <c r="I290" s="4">
        <v>0</v>
      </c>
      <c r="J290" s="4">
        <v>0</v>
      </c>
    </row>
    <row r="291" spans="1:10" x14ac:dyDescent="0.15">
      <c r="A291" s="4">
        <v>9</v>
      </c>
      <c r="B291" s="4">
        <v>290</v>
      </c>
      <c r="C291" s="4">
        <v>4462</v>
      </c>
      <c r="D291" s="5" t="s">
        <v>1259</v>
      </c>
      <c r="E291" s="6">
        <v>73500000</v>
      </c>
      <c r="F291" s="4">
        <v>29746</v>
      </c>
      <c r="G291" s="4">
        <v>363</v>
      </c>
      <c r="H291" s="4">
        <v>0</v>
      </c>
      <c r="I291" s="4">
        <v>0</v>
      </c>
      <c r="J291" s="4">
        <v>1</v>
      </c>
    </row>
    <row r="292" spans="1:10" x14ac:dyDescent="0.15">
      <c r="A292" s="4">
        <v>3</v>
      </c>
      <c r="B292" s="4">
        <v>291</v>
      </c>
      <c r="C292" s="4">
        <v>4459</v>
      </c>
      <c r="D292" s="5" t="s">
        <v>1260</v>
      </c>
      <c r="E292" s="6">
        <v>16979773</v>
      </c>
      <c r="F292" s="4">
        <v>618</v>
      </c>
      <c r="G292" s="4">
        <v>37</v>
      </c>
      <c r="H292" s="4">
        <v>0</v>
      </c>
      <c r="I292" s="4">
        <v>0</v>
      </c>
      <c r="J292" s="4">
        <v>0</v>
      </c>
    </row>
    <row r="293" spans="1:10" x14ac:dyDescent="0.15">
      <c r="A293" s="4">
        <v>5</v>
      </c>
      <c r="B293" s="4">
        <v>292</v>
      </c>
      <c r="C293" s="4">
        <v>4442</v>
      </c>
      <c r="D293" s="5" t="s">
        <v>1261</v>
      </c>
      <c r="E293" s="6">
        <v>50000000</v>
      </c>
      <c r="F293" s="4">
        <v>20000</v>
      </c>
      <c r="G293" s="4">
        <v>200</v>
      </c>
      <c r="H293" s="4">
        <v>0</v>
      </c>
      <c r="I293" s="4">
        <v>0</v>
      </c>
      <c r="J293" s="4">
        <v>1</v>
      </c>
    </row>
    <row r="294" spans="1:10" x14ac:dyDescent="0.15">
      <c r="A294" s="4">
        <v>5</v>
      </c>
      <c r="B294" s="4">
        <v>293</v>
      </c>
      <c r="C294" s="4">
        <v>4415</v>
      </c>
      <c r="D294" s="5" t="s">
        <v>1262</v>
      </c>
      <c r="E294" s="6">
        <v>175000000</v>
      </c>
      <c r="F294" s="4">
        <v>36000</v>
      </c>
      <c r="G294" s="4">
        <v>942</v>
      </c>
      <c r="H294" s="4">
        <v>1</v>
      </c>
      <c r="I294" s="4">
        <v>0</v>
      </c>
      <c r="J294" s="4">
        <v>1</v>
      </c>
    </row>
    <row r="295" spans="1:10" x14ac:dyDescent="0.15">
      <c r="A295" s="4">
        <v>11</v>
      </c>
      <c r="B295" s="4">
        <v>294</v>
      </c>
      <c r="C295" s="4">
        <v>4400</v>
      </c>
      <c r="D295" s="5" t="s">
        <v>1263</v>
      </c>
      <c r="E295" s="6">
        <v>39296934</v>
      </c>
      <c r="F295" s="4">
        <v>60350</v>
      </c>
      <c r="G295" s="4">
        <v>328</v>
      </c>
      <c r="H295" s="4">
        <v>0</v>
      </c>
      <c r="I295" s="4">
        <v>0</v>
      </c>
      <c r="J295" s="4">
        <v>0</v>
      </c>
    </row>
    <row r="296" spans="1:10" x14ac:dyDescent="0.15">
      <c r="A296" s="4">
        <v>10</v>
      </c>
      <c r="B296" s="4">
        <v>295</v>
      </c>
      <c r="C296" s="4">
        <v>4396</v>
      </c>
      <c r="D296" s="5" t="s">
        <v>1264</v>
      </c>
      <c r="E296" s="6">
        <v>58800000</v>
      </c>
      <c r="F296" s="4">
        <v>18600</v>
      </c>
      <c r="G296" s="4">
        <v>465</v>
      </c>
      <c r="H296" s="4">
        <v>0</v>
      </c>
      <c r="I296" s="4">
        <v>1</v>
      </c>
      <c r="J296" s="4">
        <v>1</v>
      </c>
    </row>
    <row r="297" spans="1:10" x14ac:dyDescent="0.15">
      <c r="A297" s="4">
        <v>12</v>
      </c>
      <c r="B297" s="4">
        <v>296</v>
      </c>
      <c r="C297" s="4">
        <v>4389</v>
      </c>
      <c r="D297" s="5" t="s">
        <v>1265</v>
      </c>
      <c r="E297" s="6">
        <v>19000000</v>
      </c>
      <c r="F297" s="4">
        <v>8100</v>
      </c>
      <c r="G297" s="4">
        <v>100</v>
      </c>
      <c r="H297" s="4">
        <v>0</v>
      </c>
      <c r="I297" s="4">
        <v>0</v>
      </c>
      <c r="J297" s="4">
        <v>1</v>
      </c>
    </row>
    <row r="298" spans="1:10" x14ac:dyDescent="0.15">
      <c r="A298" s="4">
        <v>6</v>
      </c>
      <c r="B298" s="4">
        <v>297</v>
      </c>
      <c r="C298" s="4">
        <v>4385</v>
      </c>
      <c r="D298" s="5" t="s">
        <v>1266</v>
      </c>
      <c r="E298" s="6">
        <v>54156346</v>
      </c>
      <c r="F298" s="4" t="s">
        <v>63</v>
      </c>
      <c r="G298" s="4">
        <v>257</v>
      </c>
      <c r="H298" s="4">
        <v>0</v>
      </c>
      <c r="I298" s="4">
        <v>0</v>
      </c>
      <c r="J298" s="4">
        <v>0</v>
      </c>
    </row>
    <row r="299" spans="1:10" x14ac:dyDescent="0.15">
      <c r="A299" s="4">
        <v>12</v>
      </c>
      <c r="B299" s="4">
        <v>298</v>
      </c>
      <c r="C299" s="4">
        <v>4383</v>
      </c>
      <c r="D299" s="5" t="s">
        <v>1267</v>
      </c>
      <c r="E299" s="6">
        <v>10000000</v>
      </c>
      <c r="F299" s="4">
        <v>15000</v>
      </c>
      <c r="G299" s="4">
        <v>200</v>
      </c>
      <c r="H299" s="4">
        <v>0</v>
      </c>
      <c r="I299" s="4">
        <v>0</v>
      </c>
      <c r="J299" s="4">
        <v>1</v>
      </c>
    </row>
    <row r="300" spans="1:10" x14ac:dyDescent="0.15">
      <c r="A300" s="4">
        <v>19</v>
      </c>
      <c r="B300" s="4">
        <v>299</v>
      </c>
      <c r="C300" s="4">
        <v>4379</v>
      </c>
      <c r="D300" s="5" t="s">
        <v>1268</v>
      </c>
      <c r="E300" s="6">
        <v>141000000</v>
      </c>
      <c r="F300" s="4">
        <v>29000</v>
      </c>
      <c r="G300" s="4">
        <v>750</v>
      </c>
      <c r="H300" s="4">
        <v>0</v>
      </c>
      <c r="I300" s="4">
        <v>0</v>
      </c>
      <c r="J300" s="4">
        <v>1</v>
      </c>
    </row>
    <row r="301" spans="1:10" x14ac:dyDescent="0.15">
      <c r="A301" s="4">
        <v>3</v>
      </c>
      <c r="B301" s="4">
        <v>300</v>
      </c>
      <c r="C301" s="4">
        <v>4366</v>
      </c>
      <c r="D301" s="5" t="s">
        <v>1269</v>
      </c>
      <c r="E301" s="6">
        <v>48383947</v>
      </c>
      <c r="F301" s="4">
        <v>13100</v>
      </c>
      <c r="G301" s="4">
        <v>105</v>
      </c>
      <c r="H301" s="4">
        <v>0</v>
      </c>
      <c r="I301" s="4">
        <v>0</v>
      </c>
      <c r="J301" s="4">
        <v>0</v>
      </c>
    </row>
    <row r="302" spans="1:10" x14ac:dyDescent="0.15">
      <c r="A302" s="4">
        <v>9</v>
      </c>
      <c r="B302" s="4">
        <v>301</v>
      </c>
      <c r="C302" s="4">
        <v>4332</v>
      </c>
      <c r="D302" s="5" t="s">
        <v>1270</v>
      </c>
      <c r="E302" s="6">
        <v>9187892</v>
      </c>
      <c r="F302" s="4">
        <v>19200</v>
      </c>
      <c r="G302" s="4">
        <v>73</v>
      </c>
      <c r="H302" s="4">
        <v>0</v>
      </c>
      <c r="I302" s="4">
        <v>0</v>
      </c>
      <c r="J302" s="4">
        <v>0</v>
      </c>
    </row>
    <row r="303" spans="1:10" x14ac:dyDescent="0.15">
      <c r="A303" s="4">
        <v>5</v>
      </c>
      <c r="B303" s="4">
        <v>302</v>
      </c>
      <c r="C303" s="4">
        <v>4320</v>
      </c>
      <c r="D303" s="5" t="s">
        <v>1271</v>
      </c>
      <c r="E303" s="6">
        <v>51564839</v>
      </c>
      <c r="F303" s="4">
        <v>23500</v>
      </c>
      <c r="G303" s="4">
        <v>233</v>
      </c>
      <c r="H303" s="4">
        <v>0</v>
      </c>
      <c r="I303" s="4">
        <v>0</v>
      </c>
      <c r="J303" s="4">
        <v>0</v>
      </c>
    </row>
    <row r="304" spans="1:10" x14ac:dyDescent="0.15">
      <c r="A304" s="4">
        <v>2</v>
      </c>
      <c r="B304" s="4">
        <v>303</v>
      </c>
      <c r="C304" s="4">
        <v>4307</v>
      </c>
      <c r="D304" s="5" t="s">
        <v>1272</v>
      </c>
      <c r="E304" s="6">
        <v>46000000</v>
      </c>
      <c r="F304" s="4">
        <v>7400</v>
      </c>
      <c r="G304" s="4">
        <v>360</v>
      </c>
      <c r="H304" s="4">
        <v>0</v>
      </c>
      <c r="I304" s="4">
        <v>0</v>
      </c>
      <c r="J304" s="4">
        <v>1</v>
      </c>
    </row>
    <row r="305" spans="1:10" x14ac:dyDescent="0.15">
      <c r="A305" s="4">
        <v>20</v>
      </c>
      <c r="B305" s="4">
        <v>304</v>
      </c>
      <c r="C305" s="4">
        <v>4306</v>
      </c>
      <c r="D305" s="5" t="s">
        <v>1273</v>
      </c>
      <c r="E305" s="4">
        <v>95933468</v>
      </c>
      <c r="F305" s="4">
        <v>18274</v>
      </c>
      <c r="G305" s="4">
        <v>527</v>
      </c>
      <c r="H305" s="4">
        <v>0</v>
      </c>
      <c r="I305" s="4">
        <v>0</v>
      </c>
      <c r="J305" s="4">
        <v>0</v>
      </c>
    </row>
    <row r="306" spans="1:10" x14ac:dyDescent="0.15">
      <c r="A306" s="4">
        <v>5</v>
      </c>
      <c r="B306" s="4">
        <v>305</v>
      </c>
      <c r="C306" s="4">
        <v>4305</v>
      </c>
      <c r="D306" s="5" t="s">
        <v>1274</v>
      </c>
      <c r="E306" s="6">
        <v>142385006</v>
      </c>
      <c r="F306" s="4">
        <v>3000</v>
      </c>
      <c r="G306" s="4">
        <v>150</v>
      </c>
      <c r="H306" s="4">
        <v>0</v>
      </c>
      <c r="I306" s="4">
        <v>0</v>
      </c>
      <c r="J306" s="4">
        <v>0</v>
      </c>
    </row>
    <row r="307" spans="1:10" x14ac:dyDescent="0.15">
      <c r="A307" s="4">
        <v>12</v>
      </c>
      <c r="B307" s="4">
        <v>306</v>
      </c>
      <c r="C307" s="4">
        <v>4293</v>
      </c>
      <c r="D307" s="5" t="s">
        <v>1275</v>
      </c>
      <c r="E307" s="4" t="s">
        <v>63</v>
      </c>
      <c r="F307" s="4">
        <v>24000</v>
      </c>
      <c r="G307" s="4" t="s">
        <v>63</v>
      </c>
      <c r="H307" s="4">
        <v>0</v>
      </c>
      <c r="I307" s="4">
        <v>0</v>
      </c>
      <c r="J307" s="4">
        <v>1</v>
      </c>
    </row>
    <row r="308" spans="1:10" x14ac:dyDescent="0.15">
      <c r="A308" s="4">
        <v>12</v>
      </c>
      <c r="B308" s="4">
        <v>307</v>
      </c>
      <c r="C308" s="4">
        <v>4289</v>
      </c>
      <c r="D308" s="5" t="s">
        <v>1276</v>
      </c>
      <c r="E308" s="6">
        <v>6000000</v>
      </c>
      <c r="F308" s="4">
        <v>14000</v>
      </c>
      <c r="G308" s="4">
        <v>50</v>
      </c>
      <c r="H308" s="4">
        <v>0</v>
      </c>
      <c r="I308" s="4">
        <v>0</v>
      </c>
      <c r="J308" s="4">
        <v>1</v>
      </c>
    </row>
    <row r="309" spans="1:10" x14ac:dyDescent="0.15">
      <c r="A309" s="4">
        <v>13</v>
      </c>
      <c r="B309" s="4">
        <v>308</v>
      </c>
      <c r="C309" s="4">
        <v>4286</v>
      </c>
      <c r="D309" s="5" t="s">
        <v>1277</v>
      </c>
      <c r="E309" s="6">
        <v>6803908</v>
      </c>
      <c r="F309" s="4" t="s">
        <v>63</v>
      </c>
      <c r="G309" s="4">
        <v>39</v>
      </c>
      <c r="H309" s="4">
        <v>0</v>
      </c>
      <c r="I309" s="4">
        <v>0</v>
      </c>
      <c r="J309" s="4">
        <v>0</v>
      </c>
    </row>
    <row r="310" spans="1:10" x14ac:dyDescent="0.15">
      <c r="A310" s="4">
        <v>19</v>
      </c>
      <c r="B310" s="4">
        <v>309</v>
      </c>
      <c r="C310" s="4">
        <v>4273</v>
      </c>
      <c r="D310" s="5" t="s">
        <v>1278</v>
      </c>
      <c r="E310" s="6">
        <v>58687776</v>
      </c>
      <c r="F310" s="4">
        <v>4930</v>
      </c>
      <c r="G310" s="4">
        <v>39</v>
      </c>
      <c r="H310" s="4">
        <v>0</v>
      </c>
      <c r="I310" s="4">
        <v>0</v>
      </c>
      <c r="J310" s="4">
        <v>0</v>
      </c>
    </row>
    <row r="311" spans="1:10" x14ac:dyDescent="0.15">
      <c r="A311" s="4">
        <v>12</v>
      </c>
      <c r="B311" s="4">
        <v>310</v>
      </c>
      <c r="C311" s="4">
        <v>4265</v>
      </c>
      <c r="D311" s="5" t="s">
        <v>1279</v>
      </c>
      <c r="E311" s="6">
        <v>10000000</v>
      </c>
      <c r="F311" s="4">
        <v>6320</v>
      </c>
      <c r="G311" s="4">
        <v>75</v>
      </c>
      <c r="H311" s="4">
        <v>0</v>
      </c>
      <c r="I311" s="4">
        <v>0</v>
      </c>
      <c r="J311" s="4">
        <v>1</v>
      </c>
    </row>
    <row r="312" spans="1:10" x14ac:dyDescent="0.15">
      <c r="A312" s="4">
        <v>12</v>
      </c>
      <c r="B312" s="4">
        <v>311</v>
      </c>
      <c r="C312" s="4">
        <v>4252</v>
      </c>
      <c r="D312" s="5" t="s">
        <v>1280</v>
      </c>
      <c r="E312" s="6">
        <v>12000000</v>
      </c>
      <c r="F312" s="4">
        <v>16000</v>
      </c>
      <c r="G312" s="4">
        <v>176</v>
      </c>
      <c r="H312" s="4">
        <v>0</v>
      </c>
      <c r="I312" s="4">
        <v>0</v>
      </c>
      <c r="J312" s="4">
        <v>1</v>
      </c>
    </row>
    <row r="313" spans="1:10" x14ac:dyDescent="0.15">
      <c r="A313" s="4">
        <v>12</v>
      </c>
      <c r="B313" s="4">
        <v>312</v>
      </c>
      <c r="C313" s="4">
        <v>4225</v>
      </c>
      <c r="D313" s="5" t="s">
        <v>1281</v>
      </c>
      <c r="E313" s="6">
        <v>20011269</v>
      </c>
      <c r="F313" s="4">
        <v>8800</v>
      </c>
      <c r="G313" s="4">
        <v>136</v>
      </c>
      <c r="H313" s="4">
        <v>0</v>
      </c>
      <c r="I313" s="4">
        <v>0</v>
      </c>
      <c r="J313" s="4">
        <v>0</v>
      </c>
    </row>
    <row r="314" spans="1:10" x14ac:dyDescent="0.15">
      <c r="A314" s="4">
        <v>14</v>
      </c>
      <c r="B314" s="4">
        <v>313</v>
      </c>
      <c r="C314" s="4">
        <v>4202</v>
      </c>
      <c r="D314" s="5" t="s">
        <v>1282</v>
      </c>
      <c r="E314" s="6">
        <v>13000000</v>
      </c>
      <c r="F314" s="4">
        <v>22500</v>
      </c>
      <c r="G314" s="4">
        <v>110</v>
      </c>
      <c r="H314" s="4">
        <v>1</v>
      </c>
      <c r="I314" s="4">
        <v>1</v>
      </c>
      <c r="J314" s="4">
        <v>1</v>
      </c>
    </row>
    <row r="315" spans="1:10" x14ac:dyDescent="0.15">
      <c r="A315" s="4">
        <v>14</v>
      </c>
      <c r="B315" s="4">
        <v>314</v>
      </c>
      <c r="C315" s="4">
        <v>4191</v>
      </c>
      <c r="D315" s="5" t="s">
        <v>1283</v>
      </c>
      <c r="E315" s="6">
        <v>50000000</v>
      </c>
      <c r="F315" s="4">
        <v>10100</v>
      </c>
      <c r="G315" s="4">
        <v>340</v>
      </c>
      <c r="H315" s="4">
        <v>0</v>
      </c>
      <c r="I315" s="4">
        <v>0</v>
      </c>
      <c r="J315" s="4">
        <v>1</v>
      </c>
    </row>
    <row r="316" spans="1:10" x14ac:dyDescent="0.15">
      <c r="A316" s="4">
        <v>20</v>
      </c>
      <c r="B316" s="4">
        <v>315</v>
      </c>
      <c r="C316" s="4">
        <v>4190</v>
      </c>
      <c r="D316" s="5" t="s">
        <v>1284</v>
      </c>
      <c r="E316" s="6">
        <v>62800000</v>
      </c>
      <c r="F316" s="4">
        <v>17100</v>
      </c>
      <c r="G316" s="4">
        <v>550</v>
      </c>
      <c r="H316" s="4">
        <v>1</v>
      </c>
      <c r="I316" s="4">
        <v>1</v>
      </c>
      <c r="J316" s="4">
        <v>1</v>
      </c>
    </row>
    <row r="317" spans="1:10" x14ac:dyDescent="0.15">
      <c r="A317" s="4">
        <v>9</v>
      </c>
      <c r="B317" s="4">
        <v>316</v>
      </c>
      <c r="C317" s="4">
        <v>4177</v>
      </c>
      <c r="D317" s="5" t="s">
        <v>1285</v>
      </c>
      <c r="E317" s="6">
        <v>86114203</v>
      </c>
      <c r="F317" s="4">
        <v>41900</v>
      </c>
      <c r="G317" s="4">
        <v>687</v>
      </c>
      <c r="H317" s="4">
        <v>0</v>
      </c>
      <c r="I317" s="4">
        <v>0</v>
      </c>
      <c r="J317" s="4">
        <v>0</v>
      </c>
    </row>
    <row r="318" spans="1:10" x14ac:dyDescent="0.15">
      <c r="A318" s="4">
        <v>5</v>
      </c>
      <c r="B318" s="4">
        <v>317</v>
      </c>
      <c r="C318" s="4">
        <v>4176</v>
      </c>
      <c r="D318" s="5" t="s">
        <v>1286</v>
      </c>
      <c r="E318" s="6">
        <v>138181758</v>
      </c>
      <c r="F318" s="4">
        <v>42131</v>
      </c>
      <c r="G318" s="4">
        <v>623</v>
      </c>
      <c r="H318" s="4">
        <v>0</v>
      </c>
      <c r="I318" s="4">
        <v>0</v>
      </c>
      <c r="J318" s="4">
        <v>0</v>
      </c>
    </row>
    <row r="319" spans="1:10" x14ac:dyDescent="0.15">
      <c r="A319" s="4">
        <v>11</v>
      </c>
      <c r="B319" s="4">
        <v>318</v>
      </c>
      <c r="C319" s="4">
        <v>4167</v>
      </c>
      <c r="D319" s="5" t="s">
        <v>1287</v>
      </c>
      <c r="E319" s="6">
        <v>130000000</v>
      </c>
      <c r="F319" s="4">
        <v>11725</v>
      </c>
      <c r="G319" s="4">
        <v>1100</v>
      </c>
      <c r="H319" s="4">
        <v>0</v>
      </c>
      <c r="I319" s="4">
        <v>1</v>
      </c>
      <c r="J319" s="4">
        <v>1</v>
      </c>
    </row>
    <row r="320" spans="1:10" x14ac:dyDescent="0.15">
      <c r="A320" s="4">
        <v>5</v>
      </c>
      <c r="B320" s="4">
        <v>319</v>
      </c>
      <c r="C320" s="4">
        <v>4167</v>
      </c>
      <c r="D320" s="5" t="s">
        <v>1288</v>
      </c>
      <c r="E320" s="6">
        <v>19000000</v>
      </c>
      <c r="F320" s="4">
        <v>8000</v>
      </c>
      <c r="G320" s="4">
        <v>140</v>
      </c>
      <c r="H320" s="4">
        <v>0</v>
      </c>
      <c r="I320" s="4">
        <v>0</v>
      </c>
      <c r="J320" s="4">
        <v>1</v>
      </c>
    </row>
    <row r="321" spans="1:10" x14ac:dyDescent="0.15">
      <c r="A321" s="4">
        <v>12</v>
      </c>
      <c r="B321" s="4">
        <v>320</v>
      </c>
      <c r="C321" s="4">
        <v>4166</v>
      </c>
      <c r="D321" s="5" t="s">
        <v>1289</v>
      </c>
      <c r="E321" s="6">
        <v>20000000</v>
      </c>
      <c r="F321" s="4">
        <v>19000</v>
      </c>
      <c r="G321" s="4">
        <v>1000</v>
      </c>
      <c r="H321" s="4">
        <v>0</v>
      </c>
      <c r="I321" s="4">
        <v>0</v>
      </c>
      <c r="J321" s="4">
        <v>1</v>
      </c>
    </row>
    <row r="322" spans="1:10" x14ac:dyDescent="0.15">
      <c r="A322" s="4">
        <v>12</v>
      </c>
      <c r="B322" s="4">
        <v>321</v>
      </c>
      <c r="C322" s="4">
        <v>4163</v>
      </c>
      <c r="D322" s="5" t="s">
        <v>1290</v>
      </c>
      <c r="E322" s="6">
        <v>14400000</v>
      </c>
      <c r="F322" s="4">
        <v>5400</v>
      </c>
      <c r="G322" s="4">
        <v>100</v>
      </c>
      <c r="H322" s="4">
        <v>0</v>
      </c>
      <c r="I322" s="4">
        <v>0</v>
      </c>
      <c r="J322" s="4">
        <v>0</v>
      </c>
    </row>
    <row r="323" spans="1:10" x14ac:dyDescent="0.15">
      <c r="A323" s="4">
        <v>16</v>
      </c>
      <c r="B323" s="4">
        <v>322</v>
      </c>
      <c r="C323" s="4">
        <v>4162</v>
      </c>
      <c r="D323" s="5" t="s">
        <v>1291</v>
      </c>
      <c r="E323" s="6">
        <v>16361712</v>
      </c>
      <c r="F323" s="4">
        <v>5000</v>
      </c>
      <c r="G323" s="4">
        <v>67</v>
      </c>
      <c r="H323" s="4">
        <v>0</v>
      </c>
      <c r="I323" s="4">
        <v>0</v>
      </c>
      <c r="J323" s="4">
        <v>0</v>
      </c>
    </row>
    <row r="324" spans="1:10" x14ac:dyDescent="0.15">
      <c r="A324" s="4">
        <v>16</v>
      </c>
      <c r="B324" s="4">
        <v>323</v>
      </c>
      <c r="C324" s="4">
        <v>4149</v>
      </c>
      <c r="D324" s="5" t="s">
        <v>1292</v>
      </c>
      <c r="E324" s="6">
        <v>8500000</v>
      </c>
      <c r="F324" s="4">
        <v>70000</v>
      </c>
      <c r="G324" s="4">
        <v>250</v>
      </c>
      <c r="H324" s="4">
        <v>1</v>
      </c>
      <c r="I324" s="4">
        <v>1</v>
      </c>
      <c r="J324" s="4">
        <v>1</v>
      </c>
    </row>
    <row r="325" spans="1:10" x14ac:dyDescent="0.15">
      <c r="A325" s="4">
        <v>6</v>
      </c>
      <c r="B325" s="4">
        <v>324</v>
      </c>
      <c r="C325" s="4">
        <v>4144</v>
      </c>
      <c r="D325" s="5" t="s">
        <v>1293</v>
      </c>
      <c r="E325" s="6">
        <v>107564972</v>
      </c>
      <c r="F325" s="4" t="s">
        <v>63</v>
      </c>
      <c r="G325" s="4">
        <v>511</v>
      </c>
      <c r="H325" s="4">
        <v>0</v>
      </c>
      <c r="I325" s="4">
        <v>0</v>
      </c>
      <c r="J325" s="4">
        <v>0</v>
      </c>
    </row>
    <row r="326" spans="1:10" x14ac:dyDescent="0.15">
      <c r="A326" s="4">
        <v>20</v>
      </c>
      <c r="B326" s="4">
        <v>325</v>
      </c>
      <c r="C326" s="4">
        <v>4143</v>
      </c>
      <c r="D326" s="5" t="s">
        <v>1294</v>
      </c>
      <c r="E326" s="6">
        <v>41000000</v>
      </c>
      <c r="F326" s="4">
        <v>7100</v>
      </c>
      <c r="G326" s="4">
        <v>365</v>
      </c>
      <c r="H326" s="4">
        <v>0</v>
      </c>
      <c r="I326" s="4">
        <v>0</v>
      </c>
      <c r="J326" s="4">
        <v>1</v>
      </c>
    </row>
    <row r="327" spans="1:10" x14ac:dyDescent="0.15">
      <c r="A327" s="4">
        <v>14</v>
      </c>
      <c r="B327" s="4">
        <v>326</v>
      </c>
      <c r="C327" s="4">
        <v>4131</v>
      </c>
      <c r="D327" s="5" t="s">
        <v>1295</v>
      </c>
      <c r="E327" s="6">
        <v>18011302</v>
      </c>
      <c r="F327" s="4">
        <v>12040</v>
      </c>
      <c r="G327" s="4">
        <v>124</v>
      </c>
      <c r="H327" s="4">
        <v>0</v>
      </c>
      <c r="I327" s="4">
        <v>0</v>
      </c>
      <c r="J327" s="4">
        <v>0</v>
      </c>
    </row>
    <row r="328" spans="1:10" x14ac:dyDescent="0.15">
      <c r="A328" s="4">
        <v>14</v>
      </c>
      <c r="B328" s="4">
        <v>327</v>
      </c>
      <c r="C328" s="4">
        <v>4128</v>
      </c>
      <c r="D328" s="5" t="s">
        <v>1296</v>
      </c>
      <c r="E328" s="6">
        <v>16525274</v>
      </c>
      <c r="F328" s="4">
        <v>8500</v>
      </c>
      <c r="G328" s="4">
        <v>114</v>
      </c>
      <c r="H328" s="4">
        <v>0</v>
      </c>
      <c r="I328" s="4">
        <v>0</v>
      </c>
      <c r="J328" s="4">
        <v>0</v>
      </c>
    </row>
    <row r="329" spans="1:10" x14ac:dyDescent="0.15">
      <c r="A329" s="4">
        <v>6</v>
      </c>
      <c r="B329" s="4">
        <v>328</v>
      </c>
      <c r="C329" s="4">
        <v>4109</v>
      </c>
      <c r="D329" s="5" t="s">
        <v>1297</v>
      </c>
      <c r="E329" s="6">
        <v>12390801</v>
      </c>
      <c r="F329" s="4" t="s">
        <v>63</v>
      </c>
      <c r="G329" s="4">
        <v>59</v>
      </c>
      <c r="H329" s="4">
        <v>0</v>
      </c>
      <c r="I329" s="4">
        <v>0</v>
      </c>
      <c r="J329" s="4">
        <v>0</v>
      </c>
    </row>
    <row r="330" spans="1:10" x14ac:dyDescent="0.15">
      <c r="A330" s="4">
        <v>20</v>
      </c>
      <c r="B330" s="4">
        <v>329</v>
      </c>
      <c r="C330" s="4">
        <v>4083</v>
      </c>
      <c r="D330" s="5" t="s">
        <v>1298</v>
      </c>
      <c r="E330" s="6">
        <v>123304828</v>
      </c>
      <c r="F330" s="4">
        <v>20007</v>
      </c>
      <c r="G330" s="4">
        <v>612</v>
      </c>
      <c r="H330" s="4">
        <v>0</v>
      </c>
      <c r="I330" s="4">
        <v>0</v>
      </c>
      <c r="J330" s="4">
        <v>0</v>
      </c>
    </row>
    <row r="331" spans="1:10" x14ac:dyDescent="0.15">
      <c r="A331" s="4">
        <v>17</v>
      </c>
      <c r="B331" s="4">
        <v>330</v>
      </c>
      <c r="C331" s="4">
        <v>4070</v>
      </c>
      <c r="D331" s="5" t="s">
        <v>1299</v>
      </c>
      <c r="E331" s="6">
        <v>68000000</v>
      </c>
      <c r="F331" s="4">
        <v>174000</v>
      </c>
      <c r="G331" s="4">
        <v>703</v>
      </c>
      <c r="H331" s="4">
        <v>0</v>
      </c>
      <c r="I331" s="4">
        <v>0</v>
      </c>
      <c r="J331" s="4">
        <v>1</v>
      </c>
    </row>
    <row r="332" spans="1:10" x14ac:dyDescent="0.15">
      <c r="A332" s="4">
        <v>13</v>
      </c>
      <c r="B332" s="4">
        <v>331</v>
      </c>
      <c r="C332" s="4">
        <v>4059</v>
      </c>
      <c r="D332" s="5" t="s">
        <v>1300</v>
      </c>
      <c r="E332" s="6">
        <v>43646930</v>
      </c>
      <c r="F332" s="4">
        <v>20742</v>
      </c>
      <c r="G332" s="4">
        <v>247</v>
      </c>
      <c r="H332" s="4">
        <v>0</v>
      </c>
      <c r="I332" s="4">
        <v>0</v>
      </c>
      <c r="J332" s="4">
        <v>0</v>
      </c>
    </row>
    <row r="333" spans="1:10" x14ac:dyDescent="0.15">
      <c r="A333" s="4">
        <v>12</v>
      </c>
      <c r="B333" s="4">
        <v>332</v>
      </c>
      <c r="C333" s="4">
        <v>4053</v>
      </c>
      <c r="D333" s="5" t="s">
        <v>1301</v>
      </c>
      <c r="E333" s="6">
        <v>20000000</v>
      </c>
      <c r="F333" s="4">
        <v>38500</v>
      </c>
      <c r="G333" s="4">
        <v>250</v>
      </c>
      <c r="H333" s="4">
        <v>0</v>
      </c>
      <c r="I333" s="4">
        <v>0</v>
      </c>
      <c r="J333" s="4">
        <v>1</v>
      </c>
    </row>
    <row r="334" spans="1:10" x14ac:dyDescent="0.15">
      <c r="A334" s="4">
        <v>12</v>
      </c>
      <c r="B334" s="4">
        <v>333</v>
      </c>
      <c r="C334" s="4">
        <v>4041</v>
      </c>
      <c r="D334" s="5" t="s">
        <v>1302</v>
      </c>
      <c r="E334" s="6">
        <v>10365458</v>
      </c>
      <c r="F334" s="4">
        <v>5239</v>
      </c>
      <c r="G334" s="4">
        <v>71</v>
      </c>
      <c r="H334" s="4">
        <v>0</v>
      </c>
      <c r="I334" s="4">
        <v>0</v>
      </c>
      <c r="J334" s="4">
        <v>0</v>
      </c>
    </row>
    <row r="335" spans="1:10" x14ac:dyDescent="0.15">
      <c r="A335" s="4">
        <v>14</v>
      </c>
      <c r="B335" s="4">
        <v>334</v>
      </c>
      <c r="C335" s="4">
        <v>4037</v>
      </c>
      <c r="D335" s="5" t="s">
        <v>1303</v>
      </c>
      <c r="E335" s="6">
        <v>21103881</v>
      </c>
      <c r="F335" s="4">
        <v>12873</v>
      </c>
      <c r="G335" s="4">
        <v>145</v>
      </c>
      <c r="H335" s="4">
        <v>0</v>
      </c>
      <c r="I335" s="4">
        <v>0</v>
      </c>
      <c r="J335" s="4">
        <v>0</v>
      </c>
    </row>
    <row r="336" spans="1:10" x14ac:dyDescent="0.15">
      <c r="A336" s="4">
        <v>19</v>
      </c>
      <c r="B336" s="4">
        <v>335</v>
      </c>
      <c r="C336" s="4">
        <v>4027</v>
      </c>
      <c r="D336" s="5" t="s">
        <v>1304</v>
      </c>
      <c r="E336" s="6">
        <v>125924451</v>
      </c>
      <c r="F336" s="4">
        <v>29304</v>
      </c>
      <c r="G336" s="4">
        <v>83</v>
      </c>
      <c r="H336" s="4">
        <v>0</v>
      </c>
      <c r="I336" s="4">
        <v>0</v>
      </c>
      <c r="J336" s="4">
        <v>0</v>
      </c>
    </row>
    <row r="337" spans="1:10" x14ac:dyDescent="0.15">
      <c r="A337" s="4">
        <v>3</v>
      </c>
      <c r="B337" s="4">
        <v>336</v>
      </c>
      <c r="C337" s="4">
        <v>3972</v>
      </c>
      <c r="D337" s="5" t="s">
        <v>1305</v>
      </c>
      <c r="E337" s="6">
        <v>70000000</v>
      </c>
      <c r="F337" s="4">
        <v>13000</v>
      </c>
      <c r="G337" s="4">
        <v>500</v>
      </c>
      <c r="H337" s="4">
        <v>0</v>
      </c>
      <c r="I337" s="4">
        <v>0</v>
      </c>
      <c r="J337" s="4">
        <v>1</v>
      </c>
    </row>
    <row r="338" spans="1:10" x14ac:dyDescent="0.15">
      <c r="A338" s="4">
        <v>2</v>
      </c>
      <c r="B338" s="4">
        <v>337</v>
      </c>
      <c r="C338" s="4">
        <v>3952</v>
      </c>
      <c r="D338" s="5" t="s">
        <v>1306</v>
      </c>
      <c r="E338" s="6">
        <v>242683420</v>
      </c>
      <c r="F338" s="4">
        <v>20800</v>
      </c>
      <c r="G338" s="4">
        <v>1117</v>
      </c>
      <c r="H338" s="4">
        <v>0</v>
      </c>
      <c r="I338" s="4">
        <v>0</v>
      </c>
      <c r="J338" s="4">
        <v>0</v>
      </c>
    </row>
    <row r="339" spans="1:10" x14ac:dyDescent="0.15">
      <c r="A339" s="4">
        <v>5</v>
      </c>
      <c r="B339" s="4">
        <v>338</v>
      </c>
      <c r="C339" s="4">
        <v>3943</v>
      </c>
      <c r="D339" s="5" t="s">
        <v>1307</v>
      </c>
      <c r="E339" s="6">
        <v>30584520</v>
      </c>
      <c r="F339" s="4">
        <v>18000</v>
      </c>
      <c r="G339" s="4">
        <v>220</v>
      </c>
      <c r="H339" s="4">
        <v>0</v>
      </c>
      <c r="I339" s="4">
        <v>0</v>
      </c>
      <c r="J339" s="4">
        <v>0</v>
      </c>
    </row>
    <row r="340" spans="1:10" x14ac:dyDescent="0.15">
      <c r="A340" s="4">
        <v>19</v>
      </c>
      <c r="B340" s="4">
        <v>339</v>
      </c>
      <c r="C340" s="4">
        <v>3929</v>
      </c>
      <c r="D340" s="5" t="s">
        <v>1308</v>
      </c>
      <c r="E340" s="6">
        <v>170000000</v>
      </c>
      <c r="F340" s="4">
        <v>32000</v>
      </c>
      <c r="G340" s="4">
        <v>850</v>
      </c>
      <c r="H340" s="4">
        <v>0</v>
      </c>
      <c r="I340" s="4">
        <v>0</v>
      </c>
      <c r="J340" s="4">
        <v>1</v>
      </c>
    </row>
    <row r="341" spans="1:10" x14ac:dyDescent="0.15">
      <c r="A341" s="4">
        <v>2</v>
      </c>
      <c r="B341" s="4">
        <v>340</v>
      </c>
      <c r="C341" s="4">
        <v>3923</v>
      </c>
      <c r="D341" s="5" t="s">
        <v>1309</v>
      </c>
      <c r="E341" s="6">
        <v>141500000</v>
      </c>
      <c r="F341" s="4">
        <v>18030</v>
      </c>
      <c r="G341" s="4">
        <v>1080</v>
      </c>
      <c r="H341" s="4">
        <v>0</v>
      </c>
      <c r="I341" s="4">
        <v>0</v>
      </c>
      <c r="J341" s="4">
        <v>1</v>
      </c>
    </row>
    <row r="342" spans="1:10" x14ac:dyDescent="0.15">
      <c r="A342" s="4">
        <v>19</v>
      </c>
      <c r="B342" s="4">
        <v>341</v>
      </c>
      <c r="C342" s="4">
        <v>3922</v>
      </c>
      <c r="D342" s="5" t="s">
        <v>1310</v>
      </c>
      <c r="E342" s="6">
        <v>59829348</v>
      </c>
      <c r="F342" s="4">
        <v>35000</v>
      </c>
      <c r="G342" s="4">
        <v>402</v>
      </c>
      <c r="H342" s="4">
        <v>0</v>
      </c>
      <c r="I342" s="4">
        <v>0</v>
      </c>
      <c r="J342" s="4">
        <v>0</v>
      </c>
    </row>
    <row r="343" spans="1:10" x14ac:dyDescent="0.15">
      <c r="A343" s="4">
        <v>9</v>
      </c>
      <c r="B343" s="4">
        <v>342</v>
      </c>
      <c r="C343" s="4">
        <v>3921</v>
      </c>
      <c r="D343" s="5" t="s">
        <v>1311</v>
      </c>
      <c r="E343" s="6">
        <v>101233219</v>
      </c>
      <c r="F343" s="4">
        <v>121290</v>
      </c>
      <c r="G343" s="4">
        <v>808</v>
      </c>
      <c r="H343" s="4">
        <v>0</v>
      </c>
      <c r="I343" s="4">
        <v>0</v>
      </c>
      <c r="J343" s="4">
        <v>0</v>
      </c>
    </row>
    <row r="344" spans="1:10" x14ac:dyDescent="0.15">
      <c r="A344" s="4">
        <v>4</v>
      </c>
      <c r="B344" s="4">
        <v>343</v>
      </c>
      <c r="C344" s="4">
        <v>3912</v>
      </c>
      <c r="D344" s="5" t="s">
        <v>1312</v>
      </c>
      <c r="E344" s="6">
        <v>50000000</v>
      </c>
      <c r="F344" s="4">
        <v>4800</v>
      </c>
      <c r="G344" s="4">
        <v>250</v>
      </c>
      <c r="H344" s="4">
        <v>0</v>
      </c>
      <c r="I344" s="4">
        <v>0</v>
      </c>
      <c r="J344" s="4">
        <v>1</v>
      </c>
    </row>
    <row r="345" spans="1:10" x14ac:dyDescent="0.15">
      <c r="A345" s="4">
        <v>11</v>
      </c>
      <c r="B345" s="4">
        <v>344</v>
      </c>
      <c r="C345" s="4">
        <v>3888</v>
      </c>
      <c r="D345" s="5" t="s">
        <v>1313</v>
      </c>
      <c r="E345" s="6">
        <v>24291971</v>
      </c>
      <c r="F345" s="4">
        <v>3300</v>
      </c>
      <c r="G345" s="4">
        <v>203</v>
      </c>
      <c r="H345" s="4">
        <v>0</v>
      </c>
      <c r="I345" s="4">
        <v>0</v>
      </c>
      <c r="J345" s="4">
        <v>0</v>
      </c>
    </row>
    <row r="346" spans="1:10" x14ac:dyDescent="0.15">
      <c r="A346" s="4">
        <v>12</v>
      </c>
      <c r="B346" s="4">
        <v>345</v>
      </c>
      <c r="C346" s="4">
        <v>3887</v>
      </c>
      <c r="D346" s="5" t="s">
        <v>1314</v>
      </c>
      <c r="E346" s="6">
        <v>19392624</v>
      </c>
      <c r="F346" s="4">
        <v>12000</v>
      </c>
      <c r="G346" s="4">
        <v>132</v>
      </c>
      <c r="H346" s="4">
        <v>0</v>
      </c>
      <c r="I346" s="4">
        <v>0</v>
      </c>
      <c r="J346" s="4">
        <v>0</v>
      </c>
    </row>
    <row r="347" spans="1:10" x14ac:dyDescent="0.15">
      <c r="A347" s="4">
        <v>4</v>
      </c>
      <c r="B347" s="4">
        <v>346</v>
      </c>
      <c r="C347" s="4">
        <v>3880</v>
      </c>
      <c r="D347" s="5" t="s">
        <v>1315</v>
      </c>
      <c r="E347" s="6">
        <v>63719245</v>
      </c>
      <c r="F347" s="4">
        <v>7600</v>
      </c>
      <c r="G347" s="4">
        <v>306</v>
      </c>
      <c r="H347" s="4">
        <v>0</v>
      </c>
      <c r="I347" s="4">
        <v>0</v>
      </c>
      <c r="J347" s="4">
        <v>0</v>
      </c>
    </row>
    <row r="348" spans="1:10" x14ac:dyDescent="0.15">
      <c r="A348" s="4">
        <v>12</v>
      </c>
      <c r="B348" s="4">
        <v>347</v>
      </c>
      <c r="C348" s="4">
        <v>3875</v>
      </c>
      <c r="D348" s="5" t="s">
        <v>1316</v>
      </c>
      <c r="E348" s="6">
        <v>9620560</v>
      </c>
      <c r="F348" s="4">
        <v>12600</v>
      </c>
      <c r="G348" s="4">
        <v>66</v>
      </c>
      <c r="H348" s="4">
        <v>0</v>
      </c>
      <c r="I348" s="4">
        <v>0</v>
      </c>
      <c r="J348" s="4">
        <v>0</v>
      </c>
    </row>
    <row r="349" spans="1:10" x14ac:dyDescent="0.15">
      <c r="A349" s="4">
        <v>16</v>
      </c>
      <c r="B349" s="4">
        <v>348</v>
      </c>
      <c r="C349" s="4">
        <v>3869</v>
      </c>
      <c r="D349" s="5" t="s">
        <v>1317</v>
      </c>
      <c r="E349" s="6">
        <v>25000000</v>
      </c>
      <c r="F349" s="4">
        <v>10000</v>
      </c>
      <c r="G349" s="4">
        <v>150</v>
      </c>
      <c r="H349" s="4">
        <v>0</v>
      </c>
      <c r="I349" s="4">
        <v>0</v>
      </c>
      <c r="J349" s="4">
        <v>1</v>
      </c>
    </row>
    <row r="350" spans="1:10" x14ac:dyDescent="0.15">
      <c r="A350" s="4">
        <v>12</v>
      </c>
      <c r="B350" s="4">
        <v>349</v>
      </c>
      <c r="C350" s="4">
        <v>3868</v>
      </c>
      <c r="D350" s="5" t="s">
        <v>1318</v>
      </c>
      <c r="E350" s="6">
        <v>23546383</v>
      </c>
      <c r="F350" s="4">
        <v>10250</v>
      </c>
      <c r="G350" s="4">
        <v>160</v>
      </c>
      <c r="H350" s="4">
        <v>0</v>
      </c>
      <c r="I350" s="4">
        <v>0</v>
      </c>
      <c r="J350" s="4">
        <v>0</v>
      </c>
    </row>
    <row r="351" spans="1:10" x14ac:dyDescent="0.15">
      <c r="A351" s="4">
        <v>4</v>
      </c>
      <c r="B351" s="4">
        <v>350</v>
      </c>
      <c r="C351" s="4">
        <v>3868</v>
      </c>
      <c r="D351" s="5" t="s">
        <v>1319</v>
      </c>
      <c r="E351" s="6">
        <v>25000000</v>
      </c>
      <c r="F351" s="4">
        <v>2000</v>
      </c>
      <c r="G351" s="4">
        <v>175</v>
      </c>
      <c r="H351" s="4">
        <v>0</v>
      </c>
      <c r="I351" s="4">
        <v>0</v>
      </c>
      <c r="J351" s="4">
        <v>1</v>
      </c>
    </row>
    <row r="352" spans="1:10" x14ac:dyDescent="0.15">
      <c r="A352" s="4">
        <v>7</v>
      </c>
      <c r="B352" s="4">
        <v>351</v>
      </c>
      <c r="C352" s="4">
        <v>3834</v>
      </c>
      <c r="D352" s="5" t="s">
        <v>1320</v>
      </c>
      <c r="E352" s="6">
        <v>16500000</v>
      </c>
      <c r="F352" s="4">
        <v>7566</v>
      </c>
      <c r="G352" s="4">
        <v>330</v>
      </c>
      <c r="H352" s="4">
        <v>0</v>
      </c>
      <c r="I352" s="4">
        <v>0</v>
      </c>
      <c r="J352" s="4">
        <v>1</v>
      </c>
    </row>
    <row r="353" spans="1:10" x14ac:dyDescent="0.15">
      <c r="A353" s="4">
        <v>11</v>
      </c>
      <c r="B353" s="4">
        <v>352</v>
      </c>
      <c r="C353" s="4">
        <v>3828</v>
      </c>
      <c r="D353" s="5" t="s">
        <v>1321</v>
      </c>
      <c r="E353" s="6">
        <v>106697810</v>
      </c>
      <c r="F353" s="4">
        <v>10500</v>
      </c>
      <c r="G353" s="4">
        <v>890</v>
      </c>
      <c r="H353" s="4">
        <v>0</v>
      </c>
      <c r="I353" s="4">
        <v>0</v>
      </c>
      <c r="J353" s="4">
        <v>0</v>
      </c>
    </row>
    <row r="354" spans="1:10" x14ac:dyDescent="0.15">
      <c r="A354" s="4">
        <v>20</v>
      </c>
      <c r="B354" s="4">
        <v>353</v>
      </c>
      <c r="C354" s="4">
        <v>3817</v>
      </c>
      <c r="D354" s="5" t="s">
        <v>1322</v>
      </c>
      <c r="E354" s="6">
        <v>64441052</v>
      </c>
      <c r="F354" s="4">
        <v>7900</v>
      </c>
      <c r="G354" s="4">
        <v>320</v>
      </c>
      <c r="H354" s="4">
        <v>0</v>
      </c>
      <c r="I354" s="4">
        <v>0</v>
      </c>
      <c r="J354" s="4">
        <v>0</v>
      </c>
    </row>
    <row r="355" spans="1:10" x14ac:dyDescent="0.15">
      <c r="A355" s="4">
        <v>11</v>
      </c>
      <c r="B355" s="4">
        <v>354</v>
      </c>
      <c r="C355" s="4">
        <v>3814</v>
      </c>
      <c r="D355" s="5" t="s">
        <v>1323</v>
      </c>
      <c r="E355" s="6">
        <v>90459562</v>
      </c>
      <c r="F355" s="4">
        <v>11500</v>
      </c>
      <c r="G355" s="4">
        <v>755</v>
      </c>
      <c r="H355" s="4">
        <v>0</v>
      </c>
      <c r="I355" s="4">
        <v>0</v>
      </c>
      <c r="J355" s="4">
        <v>0</v>
      </c>
    </row>
    <row r="356" spans="1:10" x14ac:dyDescent="0.15">
      <c r="A356" s="4">
        <v>16</v>
      </c>
      <c r="B356" s="4">
        <v>355</v>
      </c>
      <c r="C356" s="4">
        <v>3773</v>
      </c>
      <c r="D356" s="5" t="s">
        <v>1324</v>
      </c>
      <c r="E356" s="6">
        <v>20000000</v>
      </c>
      <c r="F356" s="4">
        <v>17000</v>
      </c>
      <c r="G356" s="4">
        <v>200</v>
      </c>
      <c r="H356" s="4">
        <v>1</v>
      </c>
      <c r="I356" s="4">
        <v>1</v>
      </c>
      <c r="J356" s="4">
        <v>1</v>
      </c>
    </row>
    <row r="357" spans="1:10" x14ac:dyDescent="0.15">
      <c r="A357" s="4">
        <v>8</v>
      </c>
      <c r="B357" s="4">
        <v>356</v>
      </c>
      <c r="C357" s="4">
        <v>3765</v>
      </c>
      <c r="D357" s="5" t="s">
        <v>1325</v>
      </c>
      <c r="E357" s="6">
        <v>250000000</v>
      </c>
      <c r="F357" s="4">
        <v>13000</v>
      </c>
      <c r="G357" s="4">
        <v>550</v>
      </c>
      <c r="H357" s="4">
        <v>1</v>
      </c>
      <c r="I357" s="4">
        <v>0</v>
      </c>
      <c r="J357" s="4">
        <v>1</v>
      </c>
    </row>
    <row r="358" spans="1:10" x14ac:dyDescent="0.15">
      <c r="A358" s="4">
        <v>20</v>
      </c>
      <c r="B358" s="4">
        <v>357</v>
      </c>
      <c r="C358" s="4">
        <v>3745</v>
      </c>
      <c r="D358" s="5" t="s">
        <v>1326</v>
      </c>
      <c r="E358" s="6">
        <v>12300000</v>
      </c>
      <c r="F358" s="4">
        <v>7470</v>
      </c>
      <c r="G358" s="4">
        <v>61</v>
      </c>
      <c r="H358" s="4">
        <v>0</v>
      </c>
      <c r="I358" s="4">
        <v>0</v>
      </c>
      <c r="J358" s="4">
        <v>1</v>
      </c>
    </row>
    <row r="359" spans="1:10" x14ac:dyDescent="0.15">
      <c r="A359" s="4">
        <v>18</v>
      </c>
      <c r="B359" s="4">
        <v>358</v>
      </c>
      <c r="C359" s="4">
        <v>3729</v>
      </c>
      <c r="D359" s="5" t="s">
        <v>1327</v>
      </c>
      <c r="E359" s="6">
        <v>460437073</v>
      </c>
      <c r="F359" s="4">
        <v>51590</v>
      </c>
      <c r="G359" s="4">
        <v>1966</v>
      </c>
      <c r="H359" s="4">
        <v>0</v>
      </c>
      <c r="I359" s="4">
        <v>0</v>
      </c>
      <c r="J359" s="4">
        <v>0</v>
      </c>
    </row>
    <row r="360" spans="1:10" x14ac:dyDescent="0.15">
      <c r="A360" s="4">
        <v>5</v>
      </c>
      <c r="B360" s="4">
        <v>359</v>
      </c>
      <c r="C360" s="4">
        <v>3691</v>
      </c>
      <c r="D360" s="5" t="s">
        <v>1328</v>
      </c>
      <c r="E360" s="6">
        <v>120000000</v>
      </c>
      <c r="F360" s="4">
        <v>32800</v>
      </c>
      <c r="G360" s="4">
        <v>800</v>
      </c>
      <c r="H360" s="4">
        <v>0</v>
      </c>
      <c r="I360" s="4">
        <v>0</v>
      </c>
      <c r="J360" s="4">
        <v>1</v>
      </c>
    </row>
    <row r="361" spans="1:10" x14ac:dyDescent="0.15">
      <c r="A361" s="4">
        <v>17</v>
      </c>
      <c r="B361" s="4">
        <v>360</v>
      </c>
      <c r="C361" s="4">
        <v>3664</v>
      </c>
      <c r="D361" s="5" t="s">
        <v>1329</v>
      </c>
      <c r="E361" s="6">
        <v>60153380</v>
      </c>
      <c r="F361" s="4" t="s">
        <v>63</v>
      </c>
      <c r="G361" s="4">
        <v>366</v>
      </c>
      <c r="H361" s="4">
        <v>0</v>
      </c>
      <c r="I361" s="4">
        <v>0</v>
      </c>
      <c r="J361" s="4">
        <v>1</v>
      </c>
    </row>
    <row r="362" spans="1:10" x14ac:dyDescent="0.15">
      <c r="A362" s="4">
        <v>2</v>
      </c>
      <c r="B362" s="4">
        <v>361</v>
      </c>
      <c r="C362" s="4">
        <v>3646</v>
      </c>
      <c r="D362" s="5" t="s">
        <v>1330</v>
      </c>
      <c r="E362" s="6">
        <v>76000000</v>
      </c>
      <c r="F362" s="4">
        <v>10000</v>
      </c>
      <c r="G362" s="4">
        <v>600</v>
      </c>
      <c r="H362" s="4">
        <v>0</v>
      </c>
      <c r="I362" s="4">
        <v>0</v>
      </c>
      <c r="J362" s="4">
        <v>1</v>
      </c>
    </row>
    <row r="363" spans="1:10" x14ac:dyDescent="0.15">
      <c r="A363" s="4">
        <v>9</v>
      </c>
      <c r="B363" s="4">
        <v>362</v>
      </c>
      <c r="C363" s="4">
        <v>3622</v>
      </c>
      <c r="D363" s="5" t="s">
        <v>1331</v>
      </c>
      <c r="E363" s="6">
        <v>28894911</v>
      </c>
      <c r="F363" s="4">
        <v>12100</v>
      </c>
      <c r="G363" s="4">
        <v>230</v>
      </c>
      <c r="H363" s="4">
        <v>0</v>
      </c>
      <c r="I363" s="4">
        <v>0</v>
      </c>
      <c r="J363" s="4">
        <v>0</v>
      </c>
    </row>
    <row r="364" spans="1:10" x14ac:dyDescent="0.15">
      <c r="A364" s="4">
        <v>12</v>
      </c>
      <c r="B364" s="4">
        <v>363</v>
      </c>
      <c r="C364" s="4">
        <v>3621</v>
      </c>
      <c r="D364" s="5" t="s">
        <v>1332</v>
      </c>
      <c r="E364" s="6">
        <v>10000000</v>
      </c>
      <c r="F364" s="4">
        <v>22000</v>
      </c>
      <c r="G364" s="4">
        <v>200</v>
      </c>
      <c r="H364" s="4">
        <v>0</v>
      </c>
      <c r="I364" s="4">
        <v>0</v>
      </c>
      <c r="J364" s="4">
        <v>1</v>
      </c>
    </row>
    <row r="365" spans="1:10" x14ac:dyDescent="0.15">
      <c r="A365" s="4">
        <v>12</v>
      </c>
      <c r="B365" s="4">
        <v>364</v>
      </c>
      <c r="C365" s="4">
        <v>3620</v>
      </c>
      <c r="D365" s="5" t="s">
        <v>1333</v>
      </c>
      <c r="E365" s="6">
        <v>40000000</v>
      </c>
      <c r="F365" s="4">
        <v>9300</v>
      </c>
      <c r="G365" s="4">
        <v>270</v>
      </c>
      <c r="H365" s="4">
        <v>0</v>
      </c>
      <c r="I365" s="4">
        <v>0</v>
      </c>
      <c r="J365" s="4">
        <v>0</v>
      </c>
    </row>
    <row r="366" spans="1:10" x14ac:dyDescent="0.15">
      <c r="A366" s="4">
        <v>4</v>
      </c>
      <c r="B366" s="4">
        <v>365</v>
      </c>
      <c r="C366" s="4">
        <v>3619</v>
      </c>
      <c r="D366" s="5" t="s">
        <v>1334</v>
      </c>
      <c r="E366" s="6">
        <v>40000000</v>
      </c>
      <c r="F366" s="4">
        <v>53000</v>
      </c>
      <c r="G366" s="4">
        <v>400</v>
      </c>
      <c r="H366" s="4">
        <v>0</v>
      </c>
      <c r="I366" s="4">
        <v>0</v>
      </c>
      <c r="J366" s="4">
        <v>1</v>
      </c>
    </row>
    <row r="367" spans="1:10" x14ac:dyDescent="0.15">
      <c r="A367" s="4">
        <v>19</v>
      </c>
      <c r="B367" s="4">
        <v>366</v>
      </c>
      <c r="C367" s="4">
        <v>3605</v>
      </c>
      <c r="D367" s="5" t="s">
        <v>1335</v>
      </c>
      <c r="E367" s="6">
        <v>1400000000</v>
      </c>
      <c r="F367" s="4">
        <v>109800</v>
      </c>
      <c r="G367" s="4">
        <v>7358</v>
      </c>
      <c r="H367" s="4">
        <v>0</v>
      </c>
      <c r="I367" s="4">
        <v>0</v>
      </c>
      <c r="J367" s="4">
        <v>1</v>
      </c>
    </row>
    <row r="368" spans="1:10" x14ac:dyDescent="0.15">
      <c r="A368" s="4">
        <v>3</v>
      </c>
      <c r="B368" s="4">
        <v>367</v>
      </c>
      <c r="C368" s="4">
        <v>3604</v>
      </c>
      <c r="D368" s="5" t="s">
        <v>1336</v>
      </c>
      <c r="E368" s="6">
        <v>32000000</v>
      </c>
      <c r="F368" s="4">
        <v>17000</v>
      </c>
      <c r="G368" s="4">
        <v>350</v>
      </c>
      <c r="H368" s="4">
        <v>0</v>
      </c>
      <c r="I368" s="4">
        <v>1</v>
      </c>
      <c r="J368" s="4">
        <v>1</v>
      </c>
    </row>
    <row r="369" spans="1:10" x14ac:dyDescent="0.15">
      <c r="A369" s="4">
        <v>20</v>
      </c>
      <c r="B369" s="4">
        <v>368</v>
      </c>
      <c r="C369" s="4">
        <v>3586</v>
      </c>
      <c r="D369" s="5" t="s">
        <v>1337</v>
      </c>
      <c r="E369" s="6">
        <v>144000000</v>
      </c>
      <c r="F369" s="4">
        <v>11320</v>
      </c>
      <c r="G369" s="4">
        <v>600</v>
      </c>
      <c r="H369" s="4">
        <v>0</v>
      </c>
      <c r="I369" s="4">
        <v>0</v>
      </c>
      <c r="J369" s="4">
        <v>1</v>
      </c>
    </row>
    <row r="370" spans="1:10" x14ac:dyDescent="0.15">
      <c r="A370" s="4">
        <v>20</v>
      </c>
      <c r="B370" s="4">
        <v>369</v>
      </c>
      <c r="C370" s="4">
        <v>3575</v>
      </c>
      <c r="D370" s="5" t="s">
        <v>1338</v>
      </c>
      <c r="E370" s="6">
        <v>80100000</v>
      </c>
      <c r="F370" s="4">
        <v>10500</v>
      </c>
      <c r="G370" s="4">
        <v>381</v>
      </c>
      <c r="H370" s="4">
        <v>0</v>
      </c>
      <c r="I370" s="4">
        <v>0</v>
      </c>
      <c r="J370" s="4">
        <v>1</v>
      </c>
    </row>
    <row r="371" spans="1:10" x14ac:dyDescent="0.15">
      <c r="A371" s="4">
        <v>19</v>
      </c>
      <c r="B371" s="4">
        <v>370</v>
      </c>
      <c r="C371" s="4">
        <v>3555</v>
      </c>
      <c r="D371" s="5" t="s">
        <v>1339</v>
      </c>
      <c r="E371" s="6">
        <v>111000000</v>
      </c>
      <c r="F371" s="4">
        <v>40900</v>
      </c>
      <c r="G371" s="4">
        <v>807</v>
      </c>
      <c r="H371" s="4">
        <v>0</v>
      </c>
      <c r="I371" s="4">
        <v>1</v>
      </c>
      <c r="J371" s="4">
        <v>1</v>
      </c>
    </row>
    <row r="372" spans="1:10" x14ac:dyDescent="0.15">
      <c r="A372" s="4">
        <v>10</v>
      </c>
      <c r="B372" s="4">
        <v>371</v>
      </c>
      <c r="C372" s="4">
        <v>3554</v>
      </c>
      <c r="D372" s="5" t="s">
        <v>1340</v>
      </c>
      <c r="E372" s="6">
        <v>118743863</v>
      </c>
      <c r="F372" s="4">
        <v>3700</v>
      </c>
      <c r="G372" s="4">
        <v>178</v>
      </c>
      <c r="H372" s="4">
        <v>1</v>
      </c>
      <c r="I372" s="4">
        <v>0</v>
      </c>
      <c r="J372" s="4">
        <v>0</v>
      </c>
    </row>
    <row r="373" spans="1:10" x14ac:dyDescent="0.15">
      <c r="A373" s="4">
        <v>11</v>
      </c>
      <c r="B373" s="4">
        <v>372</v>
      </c>
      <c r="C373" s="4">
        <v>3544</v>
      </c>
      <c r="D373" s="5" t="s">
        <v>1341</v>
      </c>
      <c r="E373" s="6">
        <v>37465693</v>
      </c>
      <c r="F373" s="4">
        <v>4600</v>
      </c>
      <c r="G373" s="4">
        <v>313</v>
      </c>
      <c r="H373" s="4">
        <v>0</v>
      </c>
      <c r="I373" s="4">
        <v>0</v>
      </c>
      <c r="J373" s="4">
        <v>0</v>
      </c>
    </row>
    <row r="374" spans="1:10" x14ac:dyDescent="0.15">
      <c r="A374" s="4">
        <v>14</v>
      </c>
      <c r="B374" s="4">
        <v>373</v>
      </c>
      <c r="C374" s="4">
        <v>3524</v>
      </c>
      <c r="D374" s="5" t="s">
        <v>1342</v>
      </c>
      <c r="E374" s="6">
        <v>20000000</v>
      </c>
      <c r="F374" s="4">
        <v>5000</v>
      </c>
      <c r="G374" s="4">
        <v>100</v>
      </c>
      <c r="H374" s="4">
        <v>0</v>
      </c>
      <c r="I374" s="4">
        <v>0</v>
      </c>
      <c r="J374" s="4">
        <v>1</v>
      </c>
    </row>
    <row r="375" spans="1:10" x14ac:dyDescent="0.15">
      <c r="A375" s="4">
        <v>20</v>
      </c>
      <c r="B375" s="4">
        <v>374</v>
      </c>
      <c r="C375" s="4">
        <v>3516</v>
      </c>
      <c r="D375" s="5" t="s">
        <v>1343</v>
      </c>
      <c r="E375" s="6">
        <v>130000000</v>
      </c>
      <c r="F375" s="4">
        <v>16500</v>
      </c>
      <c r="G375" s="4">
        <v>1500</v>
      </c>
      <c r="H375" s="4">
        <v>0</v>
      </c>
      <c r="I375" s="4">
        <v>1</v>
      </c>
      <c r="J375" s="4">
        <v>1</v>
      </c>
    </row>
    <row r="376" spans="1:10" x14ac:dyDescent="0.15">
      <c r="A376" s="4">
        <v>12</v>
      </c>
      <c r="B376" s="4">
        <v>375</v>
      </c>
      <c r="C376" s="4">
        <v>3513</v>
      </c>
      <c r="D376" s="5" t="s">
        <v>1344</v>
      </c>
      <c r="E376" s="6">
        <v>28672297</v>
      </c>
      <c r="F376" s="4">
        <v>9350</v>
      </c>
      <c r="G376" s="4">
        <v>195</v>
      </c>
      <c r="H376" s="4">
        <v>0</v>
      </c>
      <c r="I376" s="4">
        <v>0</v>
      </c>
      <c r="J376" s="4">
        <v>0</v>
      </c>
    </row>
    <row r="377" spans="1:10" x14ac:dyDescent="0.15">
      <c r="A377" s="4">
        <v>11</v>
      </c>
      <c r="B377" s="4">
        <v>376</v>
      </c>
      <c r="C377" s="4">
        <v>3507</v>
      </c>
      <c r="D377" s="5" t="s">
        <v>1345</v>
      </c>
      <c r="E377" s="6">
        <v>31374014</v>
      </c>
      <c r="F377" s="4">
        <v>5600</v>
      </c>
      <c r="G377" s="4">
        <v>262</v>
      </c>
      <c r="H377" s="4">
        <v>0</v>
      </c>
      <c r="I377" s="4">
        <v>0</v>
      </c>
      <c r="J377" s="4">
        <v>0</v>
      </c>
    </row>
    <row r="378" spans="1:10" x14ac:dyDescent="0.15">
      <c r="A378" s="4">
        <v>17</v>
      </c>
      <c r="B378" s="4">
        <v>377</v>
      </c>
      <c r="C378" s="4">
        <v>3507</v>
      </c>
      <c r="D378" s="5" t="s">
        <v>1346</v>
      </c>
      <c r="E378" s="4" t="s">
        <v>63</v>
      </c>
      <c r="F378" s="4">
        <v>118000</v>
      </c>
      <c r="G378" s="4" t="s">
        <v>63</v>
      </c>
      <c r="H378" s="4">
        <v>0</v>
      </c>
      <c r="I378" s="4">
        <v>0</v>
      </c>
      <c r="J378" s="4">
        <v>1</v>
      </c>
    </row>
    <row r="379" spans="1:10" x14ac:dyDescent="0.15">
      <c r="A379" s="4">
        <v>9</v>
      </c>
      <c r="B379" s="4">
        <v>378</v>
      </c>
      <c r="C379" s="4">
        <v>3462</v>
      </c>
      <c r="D379" s="5" t="s">
        <v>1347</v>
      </c>
      <c r="E379" s="6">
        <v>36900000</v>
      </c>
      <c r="F379" s="4">
        <v>40000</v>
      </c>
      <c r="G379" s="4">
        <v>400</v>
      </c>
      <c r="H379" s="4">
        <v>0</v>
      </c>
      <c r="I379" s="4">
        <v>0</v>
      </c>
      <c r="J379" s="4">
        <v>1</v>
      </c>
    </row>
    <row r="380" spans="1:10" x14ac:dyDescent="0.15">
      <c r="A380" s="4">
        <v>1</v>
      </c>
      <c r="B380" s="4">
        <v>379</v>
      </c>
      <c r="C380" s="4">
        <v>3455</v>
      </c>
      <c r="D380" s="5" t="s">
        <v>1348</v>
      </c>
      <c r="E380" s="6">
        <v>38500000</v>
      </c>
      <c r="F380" s="4">
        <v>8582</v>
      </c>
      <c r="G380" s="4">
        <v>270</v>
      </c>
      <c r="H380" s="4">
        <v>1</v>
      </c>
      <c r="I380" s="4">
        <v>0</v>
      </c>
      <c r="J380" s="4">
        <v>1</v>
      </c>
    </row>
    <row r="381" spans="1:10" x14ac:dyDescent="0.15">
      <c r="A381" s="4">
        <v>15</v>
      </c>
      <c r="B381" s="4">
        <v>380</v>
      </c>
      <c r="C381" s="4">
        <v>3449</v>
      </c>
      <c r="D381" s="5" t="s">
        <v>1349</v>
      </c>
      <c r="E381" s="6">
        <v>113251018</v>
      </c>
      <c r="F381" s="4">
        <v>21600</v>
      </c>
      <c r="G381" s="4">
        <v>766</v>
      </c>
      <c r="H381" s="4">
        <v>0</v>
      </c>
      <c r="I381" s="4">
        <v>0</v>
      </c>
      <c r="J381" s="4">
        <v>0</v>
      </c>
    </row>
    <row r="382" spans="1:10" x14ac:dyDescent="0.15">
      <c r="A382" s="4">
        <v>8</v>
      </c>
      <c r="B382" s="4">
        <v>381</v>
      </c>
      <c r="C382" s="4">
        <v>3422</v>
      </c>
      <c r="D382" s="5" t="s">
        <v>1350</v>
      </c>
      <c r="E382" s="6">
        <v>386928758</v>
      </c>
      <c r="F382" s="4">
        <v>26564</v>
      </c>
      <c r="G382" s="4">
        <v>1032</v>
      </c>
      <c r="H382" s="4">
        <v>0</v>
      </c>
      <c r="I382" s="4">
        <v>1</v>
      </c>
      <c r="J382" s="4">
        <v>0</v>
      </c>
    </row>
    <row r="383" spans="1:10" x14ac:dyDescent="0.15">
      <c r="A383" s="4">
        <v>17</v>
      </c>
      <c r="B383" s="4">
        <v>382</v>
      </c>
      <c r="C383" s="4">
        <v>3393</v>
      </c>
      <c r="D383" s="5" t="s">
        <v>1351</v>
      </c>
      <c r="E383" s="6">
        <v>4500000</v>
      </c>
      <c r="F383" s="4">
        <v>14000</v>
      </c>
      <c r="G383" s="4">
        <v>71</v>
      </c>
      <c r="H383" s="4">
        <v>0</v>
      </c>
      <c r="I383" s="4">
        <v>0</v>
      </c>
      <c r="J383" s="4">
        <v>1</v>
      </c>
    </row>
    <row r="384" spans="1:10" x14ac:dyDescent="0.15">
      <c r="A384" s="4">
        <v>11</v>
      </c>
      <c r="B384" s="4">
        <v>383</v>
      </c>
      <c r="C384" s="4">
        <v>3391</v>
      </c>
      <c r="D384" s="5" t="s">
        <v>1352</v>
      </c>
      <c r="E384" s="6">
        <v>92384233</v>
      </c>
      <c r="F384" s="4">
        <v>22000</v>
      </c>
      <c r="G384" s="4">
        <v>771</v>
      </c>
      <c r="H384" s="4">
        <v>0</v>
      </c>
      <c r="I384" s="4">
        <v>0</v>
      </c>
      <c r="J384" s="4">
        <v>0</v>
      </c>
    </row>
    <row r="385" spans="1:10" x14ac:dyDescent="0.15">
      <c r="A385" s="4">
        <v>12</v>
      </c>
      <c r="B385" s="4">
        <v>384</v>
      </c>
      <c r="C385" s="4">
        <v>3387</v>
      </c>
      <c r="D385" s="5" t="s">
        <v>1353</v>
      </c>
      <c r="E385" s="6">
        <v>13547061</v>
      </c>
      <c r="F385" s="4">
        <v>13800</v>
      </c>
      <c r="G385" s="4">
        <v>92</v>
      </c>
      <c r="H385" s="4">
        <v>0</v>
      </c>
      <c r="I385" s="4">
        <v>0</v>
      </c>
      <c r="J385" s="4">
        <v>0</v>
      </c>
    </row>
    <row r="386" spans="1:10" x14ac:dyDescent="0.15">
      <c r="A386" s="4">
        <v>12</v>
      </c>
      <c r="B386" s="4">
        <v>385</v>
      </c>
      <c r="C386" s="4">
        <v>3379</v>
      </c>
      <c r="D386" s="5" t="s">
        <v>1354</v>
      </c>
      <c r="E386" s="6">
        <v>107404331</v>
      </c>
      <c r="F386" s="4">
        <v>39807</v>
      </c>
      <c r="G386" s="4">
        <v>732</v>
      </c>
      <c r="H386" s="4">
        <v>0</v>
      </c>
      <c r="I386" s="4">
        <v>0</v>
      </c>
      <c r="J386" s="4">
        <v>0</v>
      </c>
    </row>
    <row r="387" spans="1:10" x14ac:dyDescent="0.15">
      <c r="A387" s="4">
        <v>11</v>
      </c>
      <c r="B387" s="4">
        <v>386</v>
      </c>
      <c r="C387" s="4">
        <v>3370</v>
      </c>
      <c r="D387" s="5" t="s">
        <v>1355</v>
      </c>
      <c r="E387" s="6">
        <v>10000000</v>
      </c>
      <c r="F387" s="4">
        <v>13000</v>
      </c>
      <c r="G387" s="4">
        <v>100</v>
      </c>
      <c r="H387" s="4">
        <v>0</v>
      </c>
      <c r="I387" s="4">
        <v>0</v>
      </c>
      <c r="J387" s="4">
        <v>1</v>
      </c>
    </row>
    <row r="388" spans="1:10" x14ac:dyDescent="0.15">
      <c r="A388" s="4">
        <v>8</v>
      </c>
      <c r="B388" s="4">
        <v>387</v>
      </c>
      <c r="C388" s="4">
        <v>3355</v>
      </c>
      <c r="D388" s="5" t="s">
        <v>1356</v>
      </c>
      <c r="E388" s="6">
        <v>145000000</v>
      </c>
      <c r="F388" s="4">
        <v>17029</v>
      </c>
      <c r="G388" s="4">
        <v>550</v>
      </c>
      <c r="H388" s="4">
        <v>0</v>
      </c>
      <c r="I388" s="4">
        <v>0</v>
      </c>
      <c r="J388" s="4">
        <v>1</v>
      </c>
    </row>
    <row r="389" spans="1:10" x14ac:dyDescent="0.15">
      <c r="A389" s="4">
        <v>1</v>
      </c>
      <c r="B389" s="4">
        <v>388</v>
      </c>
      <c r="C389" s="4">
        <v>3354</v>
      </c>
      <c r="D389" s="5" t="s">
        <v>1357</v>
      </c>
      <c r="E389" s="4" t="s">
        <v>63</v>
      </c>
      <c r="F389" s="4">
        <v>7300</v>
      </c>
      <c r="G389" s="4">
        <v>169</v>
      </c>
      <c r="H389" s="4">
        <v>0</v>
      </c>
      <c r="I389" s="4">
        <v>0</v>
      </c>
      <c r="J389" s="4">
        <v>1</v>
      </c>
    </row>
    <row r="390" spans="1:10" x14ac:dyDescent="0.15">
      <c r="A390" s="4">
        <v>19</v>
      </c>
      <c r="B390" s="4">
        <v>389</v>
      </c>
      <c r="C390" s="4">
        <v>3349</v>
      </c>
      <c r="D390" s="5" t="s">
        <v>1358</v>
      </c>
      <c r="E390" s="6">
        <v>550000000</v>
      </c>
      <c r="F390" s="4">
        <v>110223</v>
      </c>
      <c r="G390" s="4">
        <v>5000</v>
      </c>
      <c r="H390" s="4">
        <v>1</v>
      </c>
      <c r="I390" s="4">
        <v>1</v>
      </c>
      <c r="J390" s="4">
        <v>1</v>
      </c>
    </row>
    <row r="391" spans="1:10" x14ac:dyDescent="0.15">
      <c r="A391" s="4">
        <v>12</v>
      </c>
      <c r="B391" s="4">
        <v>390</v>
      </c>
      <c r="C391" s="4">
        <v>3343</v>
      </c>
      <c r="D391" s="5" t="s">
        <v>1359</v>
      </c>
      <c r="E391" s="6">
        <v>13200000</v>
      </c>
      <c r="F391" s="4">
        <v>8100</v>
      </c>
      <c r="G391" s="4">
        <v>123</v>
      </c>
      <c r="H391" s="4">
        <v>0</v>
      </c>
      <c r="I391" s="4">
        <v>0</v>
      </c>
      <c r="J391" s="4">
        <v>1</v>
      </c>
    </row>
    <row r="392" spans="1:10" x14ac:dyDescent="0.15">
      <c r="A392" s="4">
        <v>10</v>
      </c>
      <c r="B392" s="4">
        <v>391</v>
      </c>
      <c r="C392" s="4">
        <v>3338</v>
      </c>
      <c r="D392" s="5" t="s">
        <v>1360</v>
      </c>
      <c r="E392" s="6">
        <v>103000000</v>
      </c>
      <c r="F392" s="4">
        <v>12000</v>
      </c>
      <c r="G392" s="4">
        <v>500</v>
      </c>
      <c r="H392" s="4">
        <v>0</v>
      </c>
      <c r="I392" s="4">
        <v>1</v>
      </c>
      <c r="J392" s="4">
        <v>1</v>
      </c>
    </row>
    <row r="393" spans="1:10" x14ac:dyDescent="0.15">
      <c r="A393" s="4">
        <v>5</v>
      </c>
      <c r="B393" s="4">
        <v>392</v>
      </c>
      <c r="C393" s="4">
        <v>3316</v>
      </c>
      <c r="D393" s="5" t="s">
        <v>1361</v>
      </c>
      <c r="E393" s="6">
        <v>25763655</v>
      </c>
      <c r="F393" s="4" t="s">
        <v>63</v>
      </c>
      <c r="G393" s="4">
        <v>116</v>
      </c>
      <c r="H393" s="4">
        <v>0</v>
      </c>
      <c r="I393" s="4">
        <v>0</v>
      </c>
      <c r="J393" s="4">
        <v>0</v>
      </c>
    </row>
    <row r="394" spans="1:10" x14ac:dyDescent="0.15">
      <c r="A394" s="4">
        <v>4</v>
      </c>
      <c r="B394" s="4">
        <v>393</v>
      </c>
      <c r="C394" s="4">
        <v>3316</v>
      </c>
      <c r="D394" s="5" t="s">
        <v>1362</v>
      </c>
      <c r="E394" s="6">
        <v>223223842</v>
      </c>
      <c r="F394" s="4">
        <v>12000</v>
      </c>
      <c r="G394" s="4">
        <v>800</v>
      </c>
      <c r="H394" s="4">
        <v>0</v>
      </c>
      <c r="I394" s="4">
        <v>0</v>
      </c>
      <c r="J394" s="4">
        <v>0</v>
      </c>
    </row>
    <row r="395" spans="1:10" x14ac:dyDescent="0.15">
      <c r="A395" s="4">
        <v>7</v>
      </c>
      <c r="B395" s="4">
        <v>394</v>
      </c>
      <c r="C395" s="4">
        <v>3315</v>
      </c>
      <c r="D395" s="5" t="s">
        <v>1363</v>
      </c>
      <c r="E395" s="6">
        <v>151000000</v>
      </c>
      <c r="F395" s="4">
        <v>7000</v>
      </c>
      <c r="G395" s="4">
        <v>600</v>
      </c>
      <c r="H395" s="4">
        <v>0</v>
      </c>
      <c r="I395" s="4">
        <v>1</v>
      </c>
      <c r="J395" s="4">
        <v>1</v>
      </c>
    </row>
    <row r="396" spans="1:10" x14ac:dyDescent="0.15">
      <c r="A396" s="4">
        <v>15</v>
      </c>
      <c r="B396" s="4">
        <v>395</v>
      </c>
      <c r="C396" s="4">
        <v>3311</v>
      </c>
      <c r="D396" s="5" t="s">
        <v>1364</v>
      </c>
      <c r="E396" s="6">
        <v>53792410</v>
      </c>
      <c r="F396" s="4">
        <v>10200</v>
      </c>
      <c r="G396" s="4">
        <v>364</v>
      </c>
      <c r="H396" s="4">
        <v>0</v>
      </c>
      <c r="I396" s="4">
        <v>0</v>
      </c>
      <c r="J396" s="4">
        <v>0</v>
      </c>
    </row>
    <row r="397" spans="1:10" x14ac:dyDescent="0.15">
      <c r="A397" s="4">
        <v>5</v>
      </c>
      <c r="B397" s="4">
        <v>396</v>
      </c>
      <c r="C397" s="4">
        <v>3304</v>
      </c>
      <c r="D397" s="5" t="s">
        <v>1365</v>
      </c>
      <c r="E397" s="6">
        <v>34000000</v>
      </c>
      <c r="F397" s="4">
        <v>24200</v>
      </c>
      <c r="G397" s="4">
        <v>335</v>
      </c>
      <c r="H397" s="4">
        <v>0</v>
      </c>
      <c r="I397" s="4">
        <v>0</v>
      </c>
      <c r="J397" s="4">
        <v>1</v>
      </c>
    </row>
    <row r="398" spans="1:10" x14ac:dyDescent="0.15">
      <c r="A398" s="4">
        <v>12</v>
      </c>
      <c r="B398" s="4">
        <v>397</v>
      </c>
      <c r="C398" s="4">
        <v>3257</v>
      </c>
      <c r="D398" s="5" t="s">
        <v>1366</v>
      </c>
      <c r="E398" s="6">
        <v>12511778</v>
      </c>
      <c r="F398" s="4">
        <v>5062</v>
      </c>
      <c r="G398" s="4">
        <v>85</v>
      </c>
      <c r="H398" s="4">
        <v>0</v>
      </c>
      <c r="I398" s="4">
        <v>0</v>
      </c>
      <c r="J398" s="4">
        <v>0</v>
      </c>
    </row>
    <row r="399" spans="1:10" x14ac:dyDescent="0.15">
      <c r="A399" s="4">
        <v>2</v>
      </c>
      <c r="B399" s="4">
        <v>398</v>
      </c>
      <c r="C399" s="4">
        <v>3256</v>
      </c>
      <c r="D399" s="5" t="s">
        <v>1367</v>
      </c>
      <c r="E399" s="6">
        <v>51713808</v>
      </c>
      <c r="F399" s="4">
        <v>5663</v>
      </c>
      <c r="G399" s="4">
        <v>238</v>
      </c>
      <c r="H399" s="4">
        <v>1</v>
      </c>
      <c r="I399" s="4">
        <v>0</v>
      </c>
      <c r="J399" s="4">
        <v>0</v>
      </c>
    </row>
    <row r="400" spans="1:10" x14ac:dyDescent="0.15">
      <c r="A400" s="4">
        <v>20</v>
      </c>
      <c r="B400" s="4">
        <v>399</v>
      </c>
      <c r="C400" s="4">
        <v>3247</v>
      </c>
      <c r="D400" s="5" t="s">
        <v>1368</v>
      </c>
      <c r="E400" s="6">
        <v>100592549</v>
      </c>
      <c r="F400" s="4">
        <v>12057</v>
      </c>
      <c r="G400" s="4">
        <v>499</v>
      </c>
      <c r="H400" s="4">
        <v>0</v>
      </c>
      <c r="I400" s="4">
        <v>0</v>
      </c>
      <c r="J400" s="4">
        <v>0</v>
      </c>
    </row>
    <row r="401" spans="1:10" x14ac:dyDescent="0.15">
      <c r="A401" s="4">
        <v>12</v>
      </c>
      <c r="B401" s="4">
        <v>400</v>
      </c>
      <c r="C401" s="4">
        <v>3245</v>
      </c>
      <c r="D401" s="5" t="s">
        <v>1369</v>
      </c>
      <c r="E401" s="6">
        <v>20819295</v>
      </c>
      <c r="F401" s="4">
        <v>9800</v>
      </c>
      <c r="G401" s="4">
        <v>150</v>
      </c>
      <c r="H401" s="4">
        <v>0</v>
      </c>
      <c r="I401" s="4">
        <v>0</v>
      </c>
      <c r="J401" s="4">
        <v>0</v>
      </c>
    </row>
    <row r="402" spans="1:10" x14ac:dyDescent="0.15">
      <c r="A402" s="4">
        <v>3</v>
      </c>
      <c r="B402" s="4">
        <v>401</v>
      </c>
      <c r="C402" s="4">
        <v>3241</v>
      </c>
      <c r="D402" s="5" t="s">
        <v>1370</v>
      </c>
      <c r="E402" s="6">
        <v>288992374</v>
      </c>
      <c r="F402" s="4">
        <v>6500</v>
      </c>
      <c r="G402" s="4">
        <v>100</v>
      </c>
      <c r="H402" s="4">
        <v>0</v>
      </c>
      <c r="I402" s="4">
        <v>0</v>
      </c>
      <c r="J402" s="4">
        <v>0</v>
      </c>
    </row>
    <row r="403" spans="1:10" x14ac:dyDescent="0.15">
      <c r="A403" s="4">
        <v>2</v>
      </c>
      <c r="B403" s="4">
        <v>402</v>
      </c>
      <c r="C403" s="4">
        <v>3241</v>
      </c>
      <c r="D403" s="5" t="s">
        <v>1371</v>
      </c>
      <c r="E403" s="6">
        <v>57628148</v>
      </c>
      <c r="F403" s="4">
        <v>6315</v>
      </c>
      <c r="G403" s="4">
        <v>265</v>
      </c>
      <c r="H403" s="4">
        <v>0</v>
      </c>
      <c r="I403" s="4">
        <v>0</v>
      </c>
      <c r="J403" s="4">
        <v>0</v>
      </c>
    </row>
    <row r="404" spans="1:10" x14ac:dyDescent="0.15">
      <c r="A404" s="4">
        <v>17</v>
      </c>
      <c r="B404" s="4">
        <v>403</v>
      </c>
      <c r="C404" s="4">
        <v>3235</v>
      </c>
      <c r="D404" s="5" t="s">
        <v>1372</v>
      </c>
      <c r="E404" s="6">
        <v>30674323</v>
      </c>
      <c r="F404" s="4">
        <v>18100</v>
      </c>
      <c r="G404" s="4">
        <v>118</v>
      </c>
      <c r="H404" s="4">
        <v>0</v>
      </c>
      <c r="I404" s="4">
        <v>0</v>
      </c>
      <c r="J404" s="4">
        <v>1</v>
      </c>
    </row>
    <row r="405" spans="1:10" x14ac:dyDescent="0.15">
      <c r="A405" s="4">
        <v>10</v>
      </c>
      <c r="B405" s="4">
        <v>404</v>
      </c>
      <c r="C405" s="4">
        <v>3232</v>
      </c>
      <c r="D405" s="5" t="s">
        <v>1373</v>
      </c>
      <c r="E405" s="6">
        <v>135000000</v>
      </c>
      <c r="F405" s="4">
        <v>8450</v>
      </c>
      <c r="G405" s="4">
        <v>135</v>
      </c>
      <c r="H405" s="4">
        <v>0</v>
      </c>
      <c r="I405" s="4">
        <v>0</v>
      </c>
      <c r="J405" s="4">
        <v>1</v>
      </c>
    </row>
    <row r="406" spans="1:10" x14ac:dyDescent="0.15">
      <c r="A406" s="4">
        <v>5</v>
      </c>
      <c r="B406" s="4">
        <v>405</v>
      </c>
      <c r="C406" s="4">
        <v>3228</v>
      </c>
      <c r="D406" s="5" t="s">
        <v>1374</v>
      </c>
      <c r="E406" s="6">
        <v>79000000</v>
      </c>
      <c r="F406" s="4">
        <v>29800</v>
      </c>
      <c r="G406" s="4">
        <v>639</v>
      </c>
      <c r="H406" s="4">
        <v>0</v>
      </c>
      <c r="I406" s="4">
        <v>0</v>
      </c>
      <c r="J406" s="4">
        <v>1</v>
      </c>
    </row>
    <row r="407" spans="1:10" x14ac:dyDescent="0.15">
      <c r="A407" s="4">
        <v>12</v>
      </c>
      <c r="B407" s="4">
        <v>406</v>
      </c>
      <c r="C407" s="4">
        <v>3222</v>
      </c>
      <c r="D407" s="5" t="s">
        <v>1375</v>
      </c>
      <c r="E407" s="6">
        <v>9300000</v>
      </c>
      <c r="F407" s="4">
        <v>5640</v>
      </c>
      <c r="G407" s="4">
        <v>63</v>
      </c>
      <c r="H407" s="4">
        <v>0</v>
      </c>
      <c r="I407" s="4">
        <v>0</v>
      </c>
      <c r="J407" s="4">
        <v>1</v>
      </c>
    </row>
    <row r="408" spans="1:10" x14ac:dyDescent="0.15">
      <c r="A408" s="4">
        <v>9</v>
      </c>
      <c r="B408" s="4">
        <v>407</v>
      </c>
      <c r="C408" s="4">
        <v>3221</v>
      </c>
      <c r="D408" s="5" t="s">
        <v>1376</v>
      </c>
      <c r="E408" s="6">
        <v>105000</v>
      </c>
      <c r="F408" s="4">
        <v>4800</v>
      </c>
      <c r="G408" s="4">
        <v>55</v>
      </c>
      <c r="H408" s="4">
        <v>0</v>
      </c>
      <c r="I408" s="4">
        <v>0</v>
      </c>
      <c r="J408" s="4">
        <v>1</v>
      </c>
    </row>
    <row r="409" spans="1:10" x14ac:dyDescent="0.15">
      <c r="A409" s="4">
        <v>1</v>
      </c>
      <c r="B409" s="4">
        <v>408</v>
      </c>
      <c r="C409" s="4">
        <v>3212</v>
      </c>
      <c r="D409" s="5" t="s">
        <v>1377</v>
      </c>
      <c r="E409" s="6">
        <v>10000000</v>
      </c>
      <c r="F409" s="4">
        <v>6000</v>
      </c>
      <c r="G409" s="4">
        <v>100</v>
      </c>
      <c r="H409" s="4">
        <v>0</v>
      </c>
      <c r="I409" s="4">
        <v>0</v>
      </c>
      <c r="J409" s="4">
        <v>1</v>
      </c>
    </row>
    <row r="410" spans="1:10" x14ac:dyDescent="0.15">
      <c r="A410" s="4">
        <v>11</v>
      </c>
      <c r="B410" s="4">
        <v>409</v>
      </c>
      <c r="C410" s="4">
        <v>3208</v>
      </c>
      <c r="D410" s="5" t="s">
        <v>1378</v>
      </c>
      <c r="E410" s="6">
        <v>280000000</v>
      </c>
      <c r="F410" s="4">
        <v>65000</v>
      </c>
      <c r="G410" s="4">
        <v>1640</v>
      </c>
      <c r="H410" s="4">
        <v>0</v>
      </c>
      <c r="I410" s="4">
        <v>0</v>
      </c>
      <c r="J410" s="4">
        <v>1</v>
      </c>
    </row>
    <row r="411" spans="1:10" x14ac:dyDescent="0.15">
      <c r="A411" s="4">
        <v>20</v>
      </c>
      <c r="B411" s="4">
        <v>410</v>
      </c>
      <c r="C411" s="4">
        <v>3200</v>
      </c>
      <c r="D411" s="5" t="s">
        <v>1379</v>
      </c>
      <c r="E411" s="6">
        <v>54921606</v>
      </c>
      <c r="F411" s="4">
        <v>5157</v>
      </c>
      <c r="G411" s="4">
        <v>272</v>
      </c>
      <c r="H411" s="4">
        <v>0</v>
      </c>
      <c r="I411" s="4">
        <v>0</v>
      </c>
      <c r="J411" s="4">
        <v>0</v>
      </c>
    </row>
    <row r="412" spans="1:10" x14ac:dyDescent="0.15">
      <c r="A412" s="4">
        <v>13</v>
      </c>
      <c r="B412" s="4">
        <v>411</v>
      </c>
      <c r="C412" s="4">
        <v>3196</v>
      </c>
      <c r="D412" s="5" t="s">
        <v>1380</v>
      </c>
      <c r="E412" s="6">
        <v>13291034</v>
      </c>
      <c r="F412" s="4">
        <v>4500</v>
      </c>
      <c r="G412" s="4">
        <v>75</v>
      </c>
      <c r="H412" s="4">
        <v>0</v>
      </c>
      <c r="I412" s="4">
        <v>0</v>
      </c>
      <c r="J412" s="4">
        <v>0</v>
      </c>
    </row>
    <row r="413" spans="1:10" x14ac:dyDescent="0.15">
      <c r="A413" s="4">
        <v>15</v>
      </c>
      <c r="B413" s="4">
        <v>412</v>
      </c>
      <c r="C413" s="4">
        <v>3179</v>
      </c>
      <c r="D413" s="5" t="s">
        <v>1381</v>
      </c>
      <c r="E413" s="6">
        <v>130000000</v>
      </c>
      <c r="F413" s="4">
        <v>35000</v>
      </c>
      <c r="G413" s="4">
        <v>817</v>
      </c>
      <c r="H413" s="4">
        <v>0</v>
      </c>
      <c r="I413" s="4">
        <v>0</v>
      </c>
      <c r="J413" s="4">
        <v>1</v>
      </c>
    </row>
    <row r="414" spans="1:10" x14ac:dyDescent="0.15">
      <c r="A414" s="4">
        <v>12</v>
      </c>
      <c r="B414" s="4">
        <v>413</v>
      </c>
      <c r="C414" s="4">
        <v>3177</v>
      </c>
      <c r="D414" s="5" t="s">
        <v>1382</v>
      </c>
      <c r="E414" s="6">
        <v>6200000</v>
      </c>
      <c r="F414" s="4">
        <v>5800</v>
      </c>
      <c r="G414" s="4">
        <v>110</v>
      </c>
      <c r="H414" s="4">
        <v>0</v>
      </c>
      <c r="I414" s="4">
        <v>0</v>
      </c>
      <c r="J414" s="4">
        <v>1</v>
      </c>
    </row>
    <row r="415" spans="1:10" x14ac:dyDescent="0.15">
      <c r="A415" s="4">
        <v>12</v>
      </c>
      <c r="B415" s="4">
        <v>414</v>
      </c>
      <c r="C415" s="4">
        <v>3167</v>
      </c>
      <c r="D415" s="5" t="s">
        <v>1383</v>
      </c>
      <c r="E415" s="6">
        <v>9557432</v>
      </c>
      <c r="F415" s="4" t="s">
        <v>63</v>
      </c>
      <c r="G415" s="4">
        <v>65</v>
      </c>
      <c r="H415" s="4">
        <v>0</v>
      </c>
      <c r="I415" s="4">
        <v>0</v>
      </c>
      <c r="J415" s="4">
        <v>0</v>
      </c>
    </row>
    <row r="416" spans="1:10" x14ac:dyDescent="0.15">
      <c r="A416" s="4">
        <v>12</v>
      </c>
      <c r="B416" s="4">
        <v>415</v>
      </c>
      <c r="C416" s="4">
        <v>3163</v>
      </c>
      <c r="D416" s="5" t="s">
        <v>1384</v>
      </c>
      <c r="E416" s="6">
        <v>10194034</v>
      </c>
      <c r="F416" s="4">
        <v>11910</v>
      </c>
      <c r="G416" s="4">
        <v>128</v>
      </c>
      <c r="H416" s="4">
        <v>0</v>
      </c>
      <c r="I416" s="4">
        <v>0</v>
      </c>
      <c r="J416" s="4">
        <v>0</v>
      </c>
    </row>
    <row r="417" spans="1:10" x14ac:dyDescent="0.15">
      <c r="A417" s="4">
        <v>9</v>
      </c>
      <c r="B417" s="4">
        <v>416</v>
      </c>
      <c r="C417" s="4">
        <v>3159</v>
      </c>
      <c r="D417" s="5" t="s">
        <v>1385</v>
      </c>
      <c r="E417" s="6">
        <v>15000000</v>
      </c>
      <c r="F417" s="4">
        <v>12000</v>
      </c>
      <c r="G417" s="4">
        <v>120</v>
      </c>
      <c r="H417" s="4">
        <v>0</v>
      </c>
      <c r="I417" s="4">
        <v>0</v>
      </c>
      <c r="J417" s="4">
        <v>1</v>
      </c>
    </row>
    <row r="418" spans="1:10" x14ac:dyDescent="0.15">
      <c r="A418" s="4">
        <v>12</v>
      </c>
      <c r="B418" s="4">
        <v>417</v>
      </c>
      <c r="C418" s="4">
        <v>3144</v>
      </c>
      <c r="D418" s="5" t="s">
        <v>1386</v>
      </c>
      <c r="E418" s="6">
        <v>31563516</v>
      </c>
      <c r="F418" s="4">
        <v>17800</v>
      </c>
      <c r="G418" s="4">
        <v>215</v>
      </c>
      <c r="H418" s="4">
        <v>0</v>
      </c>
      <c r="I418" s="4">
        <v>0</v>
      </c>
      <c r="J418" s="4">
        <v>0</v>
      </c>
    </row>
    <row r="419" spans="1:10" x14ac:dyDescent="0.15">
      <c r="A419" s="4">
        <v>14</v>
      </c>
      <c r="B419" s="4">
        <v>418</v>
      </c>
      <c r="C419" s="4">
        <v>3143</v>
      </c>
      <c r="D419" s="5" t="s">
        <v>1387</v>
      </c>
      <c r="E419" s="6">
        <v>25000000</v>
      </c>
      <c r="F419" s="4">
        <v>13795</v>
      </c>
      <c r="G419" s="4">
        <v>188</v>
      </c>
      <c r="H419" s="4">
        <v>0</v>
      </c>
      <c r="I419" s="4">
        <v>0</v>
      </c>
      <c r="J419" s="4">
        <v>1</v>
      </c>
    </row>
    <row r="420" spans="1:10" x14ac:dyDescent="0.15">
      <c r="A420" s="4">
        <v>16</v>
      </c>
      <c r="B420" s="4">
        <v>419</v>
      </c>
      <c r="C420" s="4">
        <v>3138</v>
      </c>
      <c r="D420" s="5" t="s">
        <v>1388</v>
      </c>
      <c r="E420" s="6">
        <v>20054059</v>
      </c>
      <c r="F420" s="4">
        <v>8400</v>
      </c>
      <c r="G420" s="4">
        <v>82</v>
      </c>
      <c r="H420" s="4">
        <v>0</v>
      </c>
      <c r="I420" s="4">
        <v>0</v>
      </c>
      <c r="J420" s="4">
        <v>0</v>
      </c>
    </row>
    <row r="421" spans="1:10" x14ac:dyDescent="0.15">
      <c r="A421" s="4">
        <v>5</v>
      </c>
      <c r="B421" s="4">
        <v>420</v>
      </c>
      <c r="C421" s="4">
        <v>3133</v>
      </c>
      <c r="D421" s="5" t="s">
        <v>1389</v>
      </c>
      <c r="E421" s="6">
        <v>30098254</v>
      </c>
      <c r="F421" s="4">
        <v>14000</v>
      </c>
      <c r="G421" s="4">
        <v>150</v>
      </c>
      <c r="H421" s="4">
        <v>0</v>
      </c>
      <c r="I421" s="4">
        <v>0</v>
      </c>
      <c r="J421" s="4">
        <v>0</v>
      </c>
    </row>
    <row r="422" spans="1:10" x14ac:dyDescent="0.15">
      <c r="A422" s="4">
        <v>4</v>
      </c>
      <c r="B422" s="4">
        <v>421</v>
      </c>
      <c r="C422" s="4">
        <v>3132</v>
      </c>
      <c r="D422" s="5" t="s">
        <v>1390</v>
      </c>
      <c r="E422" s="6">
        <v>39475323</v>
      </c>
      <c r="F422" s="4">
        <v>10300</v>
      </c>
      <c r="G422" s="4">
        <v>190</v>
      </c>
      <c r="H422" s="4">
        <v>0</v>
      </c>
      <c r="I422" s="4">
        <v>0</v>
      </c>
      <c r="J422" s="4">
        <v>0</v>
      </c>
    </row>
    <row r="423" spans="1:10" x14ac:dyDescent="0.15">
      <c r="A423" s="4">
        <v>19</v>
      </c>
      <c r="B423" s="4">
        <v>422</v>
      </c>
      <c r="C423" s="4">
        <v>3112</v>
      </c>
      <c r="D423" s="5" t="s">
        <v>1391</v>
      </c>
      <c r="E423" s="6">
        <v>160000000</v>
      </c>
      <c r="F423" s="4">
        <v>45000</v>
      </c>
      <c r="G423" s="4">
        <v>750</v>
      </c>
      <c r="H423" s="4">
        <v>0</v>
      </c>
      <c r="I423" s="4">
        <v>0</v>
      </c>
      <c r="J423" s="4">
        <v>1</v>
      </c>
    </row>
    <row r="424" spans="1:10" x14ac:dyDescent="0.15">
      <c r="A424" s="4">
        <v>9</v>
      </c>
      <c r="B424" s="4">
        <v>423</v>
      </c>
      <c r="C424" s="4">
        <v>3106</v>
      </c>
      <c r="D424" s="5" t="s">
        <v>1392</v>
      </c>
      <c r="E424" s="4" t="s">
        <v>63</v>
      </c>
      <c r="F424" s="4">
        <v>1200</v>
      </c>
      <c r="G424" s="4" t="s">
        <v>63</v>
      </c>
      <c r="H424" s="4">
        <v>0</v>
      </c>
      <c r="I424" s="4">
        <v>0</v>
      </c>
      <c r="J424" s="4">
        <v>1</v>
      </c>
    </row>
    <row r="425" spans="1:10" x14ac:dyDescent="0.15">
      <c r="A425" s="4">
        <v>2</v>
      </c>
      <c r="B425" s="4">
        <v>424</v>
      </c>
      <c r="C425" s="4">
        <v>3105</v>
      </c>
      <c r="D425" s="5" t="s">
        <v>1393</v>
      </c>
      <c r="E425" s="6">
        <v>445188437</v>
      </c>
      <c r="F425" s="4">
        <v>34769</v>
      </c>
      <c r="G425" s="4">
        <v>2049</v>
      </c>
      <c r="H425" s="4">
        <v>0</v>
      </c>
      <c r="I425" s="4">
        <v>0</v>
      </c>
      <c r="J425" s="4">
        <v>0</v>
      </c>
    </row>
    <row r="426" spans="1:10" x14ac:dyDescent="0.15">
      <c r="A426" s="4">
        <v>6</v>
      </c>
      <c r="B426" s="4">
        <v>425</v>
      </c>
      <c r="C426" s="4">
        <v>3100</v>
      </c>
      <c r="D426" s="5" t="s">
        <v>1394</v>
      </c>
      <c r="E426" s="6">
        <v>24087290</v>
      </c>
      <c r="F426" s="4" t="s">
        <v>63</v>
      </c>
      <c r="G426" s="4">
        <v>114</v>
      </c>
      <c r="H426" s="4">
        <v>0</v>
      </c>
      <c r="I426" s="4">
        <v>0</v>
      </c>
      <c r="J426" s="4">
        <v>0</v>
      </c>
    </row>
    <row r="427" spans="1:10" x14ac:dyDescent="0.15">
      <c r="A427" s="4">
        <v>11</v>
      </c>
      <c r="B427" s="4">
        <v>426</v>
      </c>
      <c r="C427" s="4">
        <v>3098</v>
      </c>
      <c r="D427" s="5" t="s">
        <v>1395</v>
      </c>
      <c r="E427" s="6">
        <v>237911824</v>
      </c>
      <c r="F427" s="4">
        <v>16500</v>
      </c>
      <c r="G427" s="4">
        <v>1984</v>
      </c>
      <c r="H427" s="4">
        <v>1</v>
      </c>
      <c r="I427" s="4">
        <v>0</v>
      </c>
      <c r="J427" s="4">
        <v>0</v>
      </c>
    </row>
    <row r="428" spans="1:10" x14ac:dyDescent="0.15">
      <c r="A428" s="4">
        <v>17</v>
      </c>
      <c r="B428" s="4">
        <v>427</v>
      </c>
      <c r="C428" s="4">
        <v>3096</v>
      </c>
      <c r="D428" s="5" t="s">
        <v>1396</v>
      </c>
      <c r="E428" s="6">
        <v>39738575</v>
      </c>
      <c r="F428" s="4">
        <v>105600</v>
      </c>
      <c r="G428" s="4">
        <v>241</v>
      </c>
      <c r="H428" s="4">
        <v>0</v>
      </c>
      <c r="I428" s="4">
        <v>0</v>
      </c>
      <c r="J428" s="4">
        <v>1</v>
      </c>
    </row>
    <row r="429" spans="1:10" x14ac:dyDescent="0.15">
      <c r="A429" s="4">
        <v>14</v>
      </c>
      <c r="B429" s="4">
        <v>428</v>
      </c>
      <c r="C429" s="4">
        <v>3073</v>
      </c>
      <c r="D429" s="5" t="s">
        <v>1397</v>
      </c>
      <c r="E429" s="6">
        <v>44100000</v>
      </c>
      <c r="F429" s="4">
        <v>15000</v>
      </c>
      <c r="G429" s="4">
        <v>300</v>
      </c>
      <c r="H429" s="4">
        <v>0</v>
      </c>
      <c r="I429" s="4">
        <v>0</v>
      </c>
      <c r="J429" s="4">
        <v>1</v>
      </c>
    </row>
    <row r="430" spans="1:10" x14ac:dyDescent="0.15">
      <c r="A430" s="4">
        <v>12</v>
      </c>
      <c r="B430" s="4">
        <v>429</v>
      </c>
      <c r="C430" s="4">
        <v>3068</v>
      </c>
      <c r="D430" s="5" t="s">
        <v>1398</v>
      </c>
      <c r="E430" s="6">
        <v>17000000</v>
      </c>
      <c r="F430" s="4">
        <v>6500</v>
      </c>
      <c r="G430" s="4">
        <v>105</v>
      </c>
      <c r="H430" s="4">
        <v>0</v>
      </c>
      <c r="I430" s="4">
        <v>0</v>
      </c>
      <c r="J430" s="4">
        <v>1</v>
      </c>
    </row>
    <row r="431" spans="1:10" x14ac:dyDescent="0.15">
      <c r="A431" s="4">
        <v>5</v>
      </c>
      <c r="B431" s="4">
        <v>430</v>
      </c>
      <c r="C431" s="4">
        <v>3059</v>
      </c>
      <c r="D431" s="5" t="s">
        <v>1399</v>
      </c>
      <c r="E431" s="6">
        <v>19946661</v>
      </c>
      <c r="F431" s="4">
        <v>14100</v>
      </c>
      <c r="G431" s="4">
        <v>90</v>
      </c>
      <c r="H431" s="4">
        <v>0</v>
      </c>
      <c r="I431" s="4">
        <v>0</v>
      </c>
      <c r="J431" s="4">
        <v>0</v>
      </c>
    </row>
    <row r="432" spans="1:10" x14ac:dyDescent="0.15">
      <c r="A432" s="4">
        <v>13</v>
      </c>
      <c r="B432" s="4">
        <v>431</v>
      </c>
      <c r="C432" s="4">
        <v>3054</v>
      </c>
      <c r="D432" s="5" t="s">
        <v>1400</v>
      </c>
      <c r="E432" s="6">
        <v>138488445</v>
      </c>
      <c r="F432" s="4">
        <v>65000</v>
      </c>
      <c r="G432" s="4">
        <v>784</v>
      </c>
      <c r="H432" s="4">
        <v>0</v>
      </c>
      <c r="I432" s="4">
        <v>0</v>
      </c>
      <c r="J432" s="4">
        <v>0</v>
      </c>
    </row>
    <row r="433" spans="1:10" x14ac:dyDescent="0.15">
      <c r="A433" s="4">
        <v>20</v>
      </c>
      <c r="B433" s="4">
        <v>432</v>
      </c>
      <c r="C433" s="4">
        <v>3030</v>
      </c>
      <c r="D433" s="5" t="s">
        <v>1401</v>
      </c>
      <c r="E433" s="6">
        <v>44000000</v>
      </c>
      <c r="F433" s="4">
        <v>9558</v>
      </c>
      <c r="G433" s="4">
        <v>283</v>
      </c>
      <c r="H433" s="4">
        <v>0</v>
      </c>
      <c r="I433" s="4">
        <v>0</v>
      </c>
      <c r="J433" s="4">
        <v>1</v>
      </c>
    </row>
    <row r="434" spans="1:10" x14ac:dyDescent="0.15">
      <c r="A434" s="4">
        <v>3</v>
      </c>
      <c r="B434" s="4">
        <v>433</v>
      </c>
      <c r="C434" s="4">
        <v>3026</v>
      </c>
      <c r="D434" s="5" t="s">
        <v>1402</v>
      </c>
      <c r="E434" s="6">
        <v>12200000</v>
      </c>
      <c r="F434" s="4">
        <v>5000</v>
      </c>
      <c r="G434" s="4">
        <v>70</v>
      </c>
      <c r="H434" s="4">
        <v>0</v>
      </c>
      <c r="I434" s="4">
        <v>0</v>
      </c>
      <c r="J434" s="4">
        <v>1</v>
      </c>
    </row>
    <row r="435" spans="1:10" x14ac:dyDescent="0.15">
      <c r="A435" s="4">
        <v>17</v>
      </c>
      <c r="B435" s="4">
        <v>434</v>
      </c>
      <c r="C435" s="4">
        <v>3011</v>
      </c>
      <c r="D435" s="5" t="s">
        <v>1403</v>
      </c>
      <c r="E435" s="6">
        <v>43500000</v>
      </c>
      <c r="F435" s="4">
        <v>51350</v>
      </c>
      <c r="G435" s="4">
        <v>385</v>
      </c>
      <c r="H435" s="4">
        <v>0</v>
      </c>
      <c r="I435" s="4">
        <v>0</v>
      </c>
      <c r="J435" s="4">
        <v>1</v>
      </c>
    </row>
    <row r="436" spans="1:10" x14ac:dyDescent="0.15">
      <c r="A436" s="4">
        <v>20</v>
      </c>
      <c r="B436" s="4">
        <v>435</v>
      </c>
      <c r="C436" s="4">
        <v>3003</v>
      </c>
      <c r="D436" s="5" t="s">
        <v>1404</v>
      </c>
      <c r="E436" s="6">
        <v>37741805</v>
      </c>
      <c r="F436" s="4">
        <v>7915</v>
      </c>
      <c r="G436" s="4">
        <v>187</v>
      </c>
      <c r="H436" s="4">
        <v>0</v>
      </c>
      <c r="I436" s="4">
        <v>0</v>
      </c>
      <c r="J436" s="4">
        <v>0</v>
      </c>
    </row>
    <row r="437" spans="1:10" x14ac:dyDescent="0.15">
      <c r="A437" s="4">
        <v>12</v>
      </c>
      <c r="B437" s="4">
        <v>436</v>
      </c>
      <c r="C437" s="4">
        <v>2993</v>
      </c>
      <c r="D437" s="5" t="s">
        <v>1405</v>
      </c>
      <c r="E437" s="6">
        <v>6800000</v>
      </c>
      <c r="F437" s="4">
        <v>9000</v>
      </c>
      <c r="G437" s="4">
        <v>83</v>
      </c>
      <c r="H437" s="4">
        <v>0</v>
      </c>
      <c r="I437" s="4">
        <v>0</v>
      </c>
      <c r="J437" s="4">
        <v>1</v>
      </c>
    </row>
    <row r="438" spans="1:10" x14ac:dyDescent="0.15">
      <c r="A438" s="4">
        <v>20</v>
      </c>
      <c r="B438" s="4">
        <v>437</v>
      </c>
      <c r="C438" s="4">
        <v>2986</v>
      </c>
      <c r="D438" s="5" t="s">
        <v>1406</v>
      </c>
      <c r="E438" s="6">
        <v>81060885</v>
      </c>
      <c r="F438" s="4">
        <v>10500</v>
      </c>
      <c r="G438" s="4">
        <v>400</v>
      </c>
      <c r="H438" s="4">
        <v>0</v>
      </c>
      <c r="I438" s="4">
        <v>0</v>
      </c>
      <c r="J438" s="4">
        <v>0</v>
      </c>
    </row>
    <row r="439" spans="1:10" x14ac:dyDescent="0.15">
      <c r="A439" s="4">
        <v>2</v>
      </c>
      <c r="B439" s="4">
        <v>438</v>
      </c>
      <c r="C439" s="4">
        <v>2972</v>
      </c>
      <c r="D439" s="5" t="s">
        <v>1407</v>
      </c>
      <c r="E439" s="6">
        <v>122050453</v>
      </c>
      <c r="F439" s="4">
        <v>13526</v>
      </c>
      <c r="G439" s="4">
        <v>562</v>
      </c>
      <c r="H439" s="4">
        <v>0</v>
      </c>
      <c r="I439" s="4">
        <v>0</v>
      </c>
      <c r="J439" s="4">
        <v>0</v>
      </c>
    </row>
    <row r="440" spans="1:10" x14ac:dyDescent="0.15">
      <c r="A440" s="4">
        <v>11</v>
      </c>
      <c r="B440" s="4">
        <v>439</v>
      </c>
      <c r="C440" s="4">
        <v>2971</v>
      </c>
      <c r="D440" s="5" t="s">
        <v>1408</v>
      </c>
      <c r="E440" s="6">
        <v>121459853</v>
      </c>
      <c r="F440" s="4" t="s">
        <v>63</v>
      </c>
      <c r="G440" s="4">
        <v>1013</v>
      </c>
      <c r="H440" s="4">
        <v>0</v>
      </c>
      <c r="I440" s="4">
        <v>0</v>
      </c>
      <c r="J440" s="4">
        <v>0</v>
      </c>
    </row>
    <row r="441" spans="1:10" x14ac:dyDescent="0.15">
      <c r="A441" s="4">
        <v>13</v>
      </c>
      <c r="B441" s="4">
        <v>440</v>
      </c>
      <c r="C441" s="4">
        <v>2957</v>
      </c>
      <c r="D441" s="5" t="s">
        <v>1409</v>
      </c>
      <c r="E441" s="6">
        <v>34900000</v>
      </c>
      <c r="F441" s="4">
        <v>6500</v>
      </c>
      <c r="G441" s="4">
        <v>212</v>
      </c>
      <c r="H441" s="4">
        <v>0</v>
      </c>
      <c r="I441" s="4">
        <v>0</v>
      </c>
      <c r="J441" s="4">
        <v>1</v>
      </c>
    </row>
    <row r="442" spans="1:10" x14ac:dyDescent="0.15">
      <c r="A442" s="4">
        <v>12</v>
      </c>
      <c r="B442" s="4">
        <v>441</v>
      </c>
      <c r="C442" s="4">
        <v>2952</v>
      </c>
      <c r="D442" s="5" t="s">
        <v>1410</v>
      </c>
      <c r="E442" s="6">
        <v>48000000</v>
      </c>
      <c r="F442" s="4">
        <v>23000</v>
      </c>
      <c r="G442" s="4">
        <v>462</v>
      </c>
      <c r="H442" s="4">
        <v>0</v>
      </c>
      <c r="I442" s="4">
        <v>0</v>
      </c>
      <c r="J442" s="4">
        <v>1</v>
      </c>
    </row>
    <row r="443" spans="1:10" x14ac:dyDescent="0.15">
      <c r="A443" s="4">
        <v>19</v>
      </c>
      <c r="B443" s="4">
        <v>442</v>
      </c>
      <c r="C443" s="4">
        <v>2952</v>
      </c>
      <c r="D443" s="5" t="s">
        <v>1411</v>
      </c>
      <c r="E443" s="6">
        <v>47637432</v>
      </c>
      <c r="F443" s="4">
        <v>4200</v>
      </c>
      <c r="G443" s="4">
        <v>31</v>
      </c>
      <c r="H443" s="4">
        <v>0</v>
      </c>
      <c r="I443" s="4">
        <v>0</v>
      </c>
      <c r="J443" s="4">
        <v>0</v>
      </c>
    </row>
    <row r="444" spans="1:10" x14ac:dyDescent="0.15">
      <c r="A444" s="4">
        <v>12</v>
      </c>
      <c r="B444" s="4">
        <v>443</v>
      </c>
      <c r="C444" s="4">
        <v>2950</v>
      </c>
      <c r="D444" s="5" t="s">
        <v>1412</v>
      </c>
      <c r="E444" s="6">
        <v>10453836</v>
      </c>
      <c r="F444" s="4">
        <v>5700</v>
      </c>
      <c r="G444" s="4">
        <v>71</v>
      </c>
      <c r="H444" s="4">
        <v>0</v>
      </c>
      <c r="I444" s="4">
        <v>0</v>
      </c>
      <c r="J444" s="4">
        <v>0</v>
      </c>
    </row>
    <row r="445" spans="1:10" x14ac:dyDescent="0.15">
      <c r="A445" s="4">
        <v>11</v>
      </c>
      <c r="B445" s="4">
        <v>444</v>
      </c>
      <c r="C445" s="4">
        <v>2946</v>
      </c>
      <c r="D445" s="5" t="s">
        <v>1413</v>
      </c>
      <c r="E445" s="6">
        <v>56936642</v>
      </c>
      <c r="F445" s="4">
        <v>9675</v>
      </c>
      <c r="G445" s="4">
        <v>475</v>
      </c>
      <c r="H445" s="4">
        <v>0</v>
      </c>
      <c r="I445" s="4">
        <v>0</v>
      </c>
      <c r="J445" s="4">
        <v>0</v>
      </c>
    </row>
    <row r="446" spans="1:10" x14ac:dyDescent="0.15">
      <c r="A446" s="4">
        <v>12</v>
      </c>
      <c r="B446" s="4">
        <v>445</v>
      </c>
      <c r="C446" s="4">
        <v>2944</v>
      </c>
      <c r="D446" s="5" t="s">
        <v>1414</v>
      </c>
      <c r="E446" s="6">
        <v>101129504</v>
      </c>
      <c r="F446" s="4">
        <v>10000</v>
      </c>
      <c r="G446" s="4">
        <v>689</v>
      </c>
      <c r="H446" s="4">
        <v>0</v>
      </c>
      <c r="I446" s="4">
        <v>0</v>
      </c>
      <c r="J446" s="4">
        <v>0</v>
      </c>
    </row>
    <row r="447" spans="1:10" x14ac:dyDescent="0.15">
      <c r="A447" s="4">
        <v>9</v>
      </c>
      <c r="B447" s="4">
        <v>446</v>
      </c>
      <c r="C447" s="4">
        <v>2939</v>
      </c>
      <c r="D447" s="5" t="s">
        <v>1415</v>
      </c>
      <c r="E447" s="6">
        <v>20000000</v>
      </c>
      <c r="F447" s="4">
        <v>11000</v>
      </c>
      <c r="G447" s="4">
        <v>360</v>
      </c>
      <c r="H447" s="4">
        <v>0</v>
      </c>
      <c r="I447" s="4">
        <v>0</v>
      </c>
      <c r="J447" s="4">
        <v>1</v>
      </c>
    </row>
    <row r="448" spans="1:10" x14ac:dyDescent="0.15">
      <c r="A448" s="4">
        <v>2</v>
      </c>
      <c r="B448" s="4">
        <v>447</v>
      </c>
      <c r="C448" s="4">
        <v>2937</v>
      </c>
      <c r="D448" s="5" t="s">
        <v>1416</v>
      </c>
      <c r="E448" s="6">
        <v>86000000</v>
      </c>
      <c r="F448" s="4">
        <v>13498</v>
      </c>
      <c r="G448" s="4">
        <v>60</v>
      </c>
      <c r="H448" s="4">
        <v>0</v>
      </c>
      <c r="I448" s="4">
        <v>0</v>
      </c>
      <c r="J448" s="4">
        <v>1</v>
      </c>
    </row>
    <row r="449" spans="1:10" x14ac:dyDescent="0.15">
      <c r="A449" s="4">
        <v>5</v>
      </c>
      <c r="B449" s="4">
        <v>448</v>
      </c>
      <c r="C449" s="4">
        <v>2929</v>
      </c>
      <c r="D449" s="5" t="s">
        <v>1417</v>
      </c>
      <c r="E449" s="6">
        <v>70000000</v>
      </c>
      <c r="F449" s="4">
        <v>17000</v>
      </c>
      <c r="G449" s="4">
        <v>290</v>
      </c>
      <c r="H449" s="4">
        <v>1</v>
      </c>
      <c r="I449" s="4">
        <v>0</v>
      </c>
      <c r="J449" s="4">
        <v>1</v>
      </c>
    </row>
    <row r="450" spans="1:10" x14ac:dyDescent="0.15">
      <c r="A450" s="4">
        <v>7</v>
      </c>
      <c r="B450" s="4">
        <v>449</v>
      </c>
      <c r="C450" s="4">
        <v>2923</v>
      </c>
      <c r="D450" s="5" t="s">
        <v>1418</v>
      </c>
      <c r="E450" s="4" t="s">
        <v>63</v>
      </c>
      <c r="F450" s="4">
        <v>12000</v>
      </c>
      <c r="G450" s="4" t="s">
        <v>63</v>
      </c>
      <c r="H450" s="4">
        <v>0</v>
      </c>
      <c r="I450" s="4">
        <v>0</v>
      </c>
      <c r="J450" s="4">
        <v>0</v>
      </c>
    </row>
    <row r="451" spans="1:10" x14ac:dyDescent="0.15">
      <c r="A451" s="4">
        <v>20</v>
      </c>
      <c r="B451" s="4">
        <v>450</v>
      </c>
      <c r="C451" s="4">
        <v>2894</v>
      </c>
      <c r="D451" s="5" t="s">
        <v>1419</v>
      </c>
      <c r="E451" s="6">
        <v>180000000</v>
      </c>
      <c r="F451" s="4">
        <v>8055</v>
      </c>
      <c r="G451" s="4">
        <v>407</v>
      </c>
      <c r="H451" s="4">
        <v>0</v>
      </c>
      <c r="I451" s="4">
        <v>0</v>
      </c>
      <c r="J451" s="4">
        <v>1</v>
      </c>
    </row>
    <row r="452" spans="1:10" x14ac:dyDescent="0.15">
      <c r="A452" s="4">
        <v>16</v>
      </c>
      <c r="B452" s="4">
        <v>451</v>
      </c>
      <c r="C452" s="4">
        <v>2890</v>
      </c>
      <c r="D452" s="5" t="s">
        <v>1420</v>
      </c>
      <c r="E452" s="6">
        <v>41377362</v>
      </c>
      <c r="F452" s="4">
        <v>6610</v>
      </c>
      <c r="G452" s="4">
        <v>170</v>
      </c>
      <c r="H452" s="4">
        <v>0</v>
      </c>
      <c r="I452" s="4">
        <v>0</v>
      </c>
      <c r="J452" s="4">
        <v>0</v>
      </c>
    </row>
    <row r="453" spans="1:10" x14ac:dyDescent="0.15">
      <c r="A453" s="4">
        <v>8</v>
      </c>
      <c r="B453" s="4">
        <v>452</v>
      </c>
      <c r="C453" s="4">
        <v>2890</v>
      </c>
      <c r="D453" s="5" t="s">
        <v>1421</v>
      </c>
      <c r="E453" s="6">
        <v>108953198</v>
      </c>
      <c r="F453" s="4">
        <v>19300</v>
      </c>
      <c r="G453" s="4">
        <v>349</v>
      </c>
      <c r="H453" s="4">
        <v>0</v>
      </c>
      <c r="I453" s="4">
        <v>0</v>
      </c>
      <c r="J453" s="4">
        <v>0</v>
      </c>
    </row>
    <row r="454" spans="1:10" x14ac:dyDescent="0.15">
      <c r="A454" s="4">
        <v>1</v>
      </c>
      <c r="B454" s="4">
        <v>453</v>
      </c>
      <c r="C454" s="4">
        <v>2890</v>
      </c>
      <c r="D454" s="5" t="s">
        <v>1422</v>
      </c>
      <c r="E454" s="6">
        <v>30121272</v>
      </c>
      <c r="F454" s="4">
        <v>8700</v>
      </c>
      <c r="G454" s="4">
        <v>227</v>
      </c>
      <c r="H454" s="4">
        <v>0</v>
      </c>
      <c r="I454" s="4">
        <v>0</v>
      </c>
      <c r="J454" s="4">
        <v>0</v>
      </c>
    </row>
    <row r="455" spans="1:10" x14ac:dyDescent="0.15">
      <c r="A455" s="4">
        <v>2</v>
      </c>
      <c r="B455" s="4">
        <v>454</v>
      </c>
      <c r="C455" s="4">
        <v>2877</v>
      </c>
      <c r="D455" s="5" t="s">
        <v>1423</v>
      </c>
      <c r="E455" s="6">
        <v>60951908</v>
      </c>
      <c r="F455" s="4">
        <v>6917</v>
      </c>
      <c r="G455" s="4">
        <v>281</v>
      </c>
      <c r="H455" s="4">
        <v>0</v>
      </c>
      <c r="I455" s="4">
        <v>0</v>
      </c>
      <c r="J455" s="4">
        <v>0</v>
      </c>
    </row>
    <row r="456" spans="1:10" x14ac:dyDescent="0.15">
      <c r="A456" s="4">
        <v>2</v>
      </c>
      <c r="B456" s="4">
        <v>455</v>
      </c>
      <c r="C456" s="4">
        <v>2874</v>
      </c>
      <c r="D456" s="5" t="s">
        <v>1424</v>
      </c>
      <c r="E456" s="6">
        <v>124387450</v>
      </c>
      <c r="F456" s="4">
        <v>15531</v>
      </c>
      <c r="G456" s="4">
        <v>1037</v>
      </c>
      <c r="H456" s="4">
        <v>0</v>
      </c>
      <c r="I456" s="4">
        <v>0</v>
      </c>
      <c r="J456" s="4">
        <v>0</v>
      </c>
    </row>
    <row r="457" spans="1:10" x14ac:dyDescent="0.15">
      <c r="A457" s="4">
        <v>7</v>
      </c>
      <c r="B457" s="4">
        <v>456</v>
      </c>
      <c r="C457" s="4">
        <v>2873</v>
      </c>
      <c r="D457" s="5" t="s">
        <v>1425</v>
      </c>
      <c r="E457" s="6">
        <v>73000000</v>
      </c>
      <c r="F457" s="4">
        <v>7000</v>
      </c>
      <c r="G457" s="4">
        <v>250</v>
      </c>
      <c r="H457" s="4">
        <v>0</v>
      </c>
      <c r="I457" s="4">
        <v>0</v>
      </c>
      <c r="J457" s="4">
        <v>1</v>
      </c>
    </row>
    <row r="458" spans="1:10" x14ac:dyDescent="0.15">
      <c r="A458" s="4">
        <v>20</v>
      </c>
      <c r="B458" s="4">
        <v>457</v>
      </c>
      <c r="C458" s="4">
        <v>2861</v>
      </c>
      <c r="D458" s="5" t="s">
        <v>1426</v>
      </c>
      <c r="E458" s="6">
        <v>106000000</v>
      </c>
      <c r="F458" s="4">
        <v>11919</v>
      </c>
      <c r="G458" s="4">
        <v>657</v>
      </c>
      <c r="H458" s="4">
        <v>0</v>
      </c>
      <c r="I458" s="4">
        <v>0</v>
      </c>
      <c r="J458" s="4">
        <v>1</v>
      </c>
    </row>
    <row r="459" spans="1:10" x14ac:dyDescent="0.15">
      <c r="A459" s="4">
        <v>14</v>
      </c>
      <c r="B459" s="4">
        <v>458</v>
      </c>
      <c r="C459" s="4">
        <v>2853</v>
      </c>
      <c r="D459" s="5" t="s">
        <v>1427</v>
      </c>
      <c r="E459" s="6">
        <v>13548773</v>
      </c>
      <c r="F459" s="4">
        <v>4314</v>
      </c>
      <c r="G459" s="4">
        <v>93</v>
      </c>
      <c r="H459" s="4">
        <v>0</v>
      </c>
      <c r="I459" s="4">
        <v>0</v>
      </c>
      <c r="J459" s="4">
        <v>0</v>
      </c>
    </row>
    <row r="460" spans="1:10" x14ac:dyDescent="0.15">
      <c r="A460" s="4">
        <v>9</v>
      </c>
      <c r="B460" s="4">
        <v>459</v>
      </c>
      <c r="C460" s="4">
        <v>2844</v>
      </c>
      <c r="D460" s="5" t="s">
        <v>1428</v>
      </c>
      <c r="E460" s="6">
        <v>20146801</v>
      </c>
      <c r="F460" s="4">
        <v>8900</v>
      </c>
      <c r="G460" s="4">
        <v>161</v>
      </c>
      <c r="H460" s="4">
        <v>0</v>
      </c>
      <c r="I460" s="4">
        <v>0</v>
      </c>
      <c r="J460" s="4">
        <v>0</v>
      </c>
    </row>
    <row r="461" spans="1:10" x14ac:dyDescent="0.15">
      <c r="A461" s="4">
        <v>10</v>
      </c>
      <c r="B461" s="4">
        <v>460</v>
      </c>
      <c r="C461" s="4">
        <v>2834</v>
      </c>
      <c r="D461" s="5" t="s">
        <v>1429</v>
      </c>
      <c r="E461" s="6">
        <v>37961121</v>
      </c>
      <c r="F461" s="4">
        <v>14400</v>
      </c>
      <c r="G461" s="4">
        <v>57</v>
      </c>
      <c r="H461" s="4">
        <v>0</v>
      </c>
      <c r="I461" s="4">
        <v>0</v>
      </c>
      <c r="J461" s="4">
        <v>0</v>
      </c>
    </row>
    <row r="462" spans="1:10" x14ac:dyDescent="0.15">
      <c r="A462" s="4">
        <v>8</v>
      </c>
      <c r="B462" s="4">
        <v>461</v>
      </c>
      <c r="C462" s="4">
        <v>2834</v>
      </c>
      <c r="D462" s="5" t="s">
        <v>1430</v>
      </c>
      <c r="E462" s="6">
        <v>353108608</v>
      </c>
      <c r="F462" s="4">
        <v>10700</v>
      </c>
      <c r="G462" s="4">
        <v>1130</v>
      </c>
      <c r="H462" s="4">
        <v>0</v>
      </c>
      <c r="I462" s="4">
        <v>0</v>
      </c>
      <c r="J462" s="4">
        <v>0</v>
      </c>
    </row>
    <row r="463" spans="1:10" x14ac:dyDescent="0.15">
      <c r="A463" s="4">
        <v>16</v>
      </c>
      <c r="B463" s="4">
        <v>462</v>
      </c>
      <c r="C463" s="4">
        <v>2834</v>
      </c>
      <c r="D463" s="5" t="s">
        <v>1431</v>
      </c>
      <c r="E463" s="4" t="s">
        <v>63</v>
      </c>
      <c r="F463" s="4">
        <v>6080</v>
      </c>
      <c r="G463" s="4">
        <v>137</v>
      </c>
      <c r="H463" s="4">
        <v>0</v>
      </c>
      <c r="I463" s="4">
        <v>0</v>
      </c>
      <c r="J463" s="4">
        <v>1</v>
      </c>
    </row>
    <row r="464" spans="1:10" x14ac:dyDescent="0.15">
      <c r="A464" s="4">
        <v>5</v>
      </c>
      <c r="B464" s="4">
        <v>463</v>
      </c>
      <c r="C464" s="4">
        <v>2824</v>
      </c>
      <c r="D464" s="5" t="s">
        <v>1432</v>
      </c>
      <c r="E464" s="6">
        <v>60000000</v>
      </c>
      <c r="F464" s="4">
        <v>16000</v>
      </c>
      <c r="G464" s="4">
        <v>430</v>
      </c>
      <c r="H464" s="4">
        <v>0</v>
      </c>
      <c r="I464" s="4">
        <v>0</v>
      </c>
      <c r="J464" s="4">
        <v>1</v>
      </c>
    </row>
    <row r="465" spans="1:10" x14ac:dyDescent="0.15">
      <c r="A465" s="4">
        <v>19</v>
      </c>
      <c r="B465" s="4">
        <v>464</v>
      </c>
      <c r="C465" s="4">
        <v>2821</v>
      </c>
      <c r="D465" s="5" t="s">
        <v>1433</v>
      </c>
      <c r="E465" s="6">
        <v>71000000</v>
      </c>
      <c r="F465" s="4">
        <v>3500</v>
      </c>
      <c r="G465" s="4">
        <v>445</v>
      </c>
      <c r="H465" s="4">
        <v>0</v>
      </c>
      <c r="I465" s="4">
        <v>0</v>
      </c>
      <c r="J465" s="4">
        <v>1</v>
      </c>
    </row>
    <row r="466" spans="1:10" x14ac:dyDescent="0.15">
      <c r="A466" s="4">
        <v>12</v>
      </c>
      <c r="B466" s="4">
        <v>465</v>
      </c>
      <c r="C466" s="4">
        <v>2818</v>
      </c>
      <c r="D466" s="5" t="s">
        <v>1434</v>
      </c>
      <c r="E466" s="4" t="s">
        <v>63</v>
      </c>
      <c r="F466" s="4">
        <v>5446</v>
      </c>
      <c r="G466" s="4">
        <v>82</v>
      </c>
      <c r="H466" s="4">
        <v>0</v>
      </c>
      <c r="I466" s="4">
        <v>0</v>
      </c>
      <c r="J466" s="4">
        <v>1</v>
      </c>
    </row>
    <row r="467" spans="1:10" x14ac:dyDescent="0.15">
      <c r="A467" s="4">
        <v>5</v>
      </c>
      <c r="B467" s="4">
        <v>466</v>
      </c>
      <c r="C467" s="4">
        <v>2814</v>
      </c>
      <c r="D467" s="5" t="s">
        <v>1435</v>
      </c>
      <c r="E467" s="6">
        <v>18764497</v>
      </c>
      <c r="F467" s="4">
        <v>5500</v>
      </c>
      <c r="G467" s="4">
        <v>85</v>
      </c>
      <c r="H467" s="4">
        <v>0</v>
      </c>
      <c r="I467" s="4">
        <v>0</v>
      </c>
      <c r="J467" s="4">
        <v>0</v>
      </c>
    </row>
    <row r="468" spans="1:10" x14ac:dyDescent="0.15">
      <c r="A468" s="4">
        <v>12</v>
      </c>
      <c r="B468" s="4">
        <v>467</v>
      </c>
      <c r="C468" s="4">
        <v>2813</v>
      </c>
      <c r="D468" s="5" t="s">
        <v>1436</v>
      </c>
      <c r="E468" s="6">
        <v>22272259</v>
      </c>
      <c r="F468" s="4">
        <v>6610</v>
      </c>
      <c r="G468" s="4">
        <v>168</v>
      </c>
      <c r="H468" s="4">
        <v>0</v>
      </c>
      <c r="I468" s="4">
        <v>0</v>
      </c>
      <c r="J468" s="4">
        <v>0</v>
      </c>
    </row>
    <row r="469" spans="1:10" x14ac:dyDescent="0.15">
      <c r="A469" s="4">
        <v>12</v>
      </c>
      <c r="B469" s="4">
        <v>468</v>
      </c>
      <c r="C469" s="4">
        <v>2809</v>
      </c>
      <c r="D469" s="5" t="s">
        <v>1437</v>
      </c>
      <c r="E469" s="6">
        <v>11223986</v>
      </c>
      <c r="F469" s="4">
        <v>6600</v>
      </c>
      <c r="G469" s="4">
        <v>76</v>
      </c>
      <c r="H469" s="4">
        <v>0</v>
      </c>
      <c r="I469" s="4">
        <v>0</v>
      </c>
      <c r="J469" s="4">
        <v>0</v>
      </c>
    </row>
    <row r="470" spans="1:10" x14ac:dyDescent="0.15">
      <c r="A470" s="4">
        <v>4</v>
      </c>
      <c r="B470" s="4">
        <v>469</v>
      </c>
      <c r="C470" s="4">
        <v>2808</v>
      </c>
      <c r="D470" s="5" t="s">
        <v>1438</v>
      </c>
      <c r="E470" s="6">
        <v>14000000</v>
      </c>
      <c r="F470" s="4">
        <v>2200</v>
      </c>
      <c r="G470" s="4">
        <v>120</v>
      </c>
      <c r="H470" s="4">
        <v>0</v>
      </c>
      <c r="I470" s="4">
        <v>0</v>
      </c>
      <c r="J470" s="4">
        <v>1</v>
      </c>
    </row>
    <row r="471" spans="1:10" x14ac:dyDescent="0.15">
      <c r="A471" s="4">
        <v>8</v>
      </c>
      <c r="B471" s="4">
        <v>470</v>
      </c>
      <c r="C471" s="4">
        <v>2794</v>
      </c>
      <c r="D471" s="5" t="s">
        <v>1439</v>
      </c>
      <c r="E471" s="6">
        <v>350000000</v>
      </c>
      <c r="F471" s="4">
        <v>1400</v>
      </c>
      <c r="G471" s="4">
        <v>1400</v>
      </c>
      <c r="H471" s="4">
        <v>1</v>
      </c>
      <c r="I471" s="4">
        <v>0</v>
      </c>
      <c r="J471" s="4">
        <v>1</v>
      </c>
    </row>
    <row r="472" spans="1:10" x14ac:dyDescent="0.15">
      <c r="A472" s="4">
        <v>9</v>
      </c>
      <c r="B472" s="4">
        <v>471</v>
      </c>
      <c r="C472" s="4">
        <v>2771</v>
      </c>
      <c r="D472" s="5" t="s">
        <v>1440</v>
      </c>
      <c r="E472" s="4" t="s">
        <v>63</v>
      </c>
      <c r="F472" s="4">
        <v>12000</v>
      </c>
      <c r="G472" s="4" t="s">
        <v>63</v>
      </c>
      <c r="H472" s="4">
        <v>0</v>
      </c>
      <c r="I472" s="4">
        <v>0</v>
      </c>
      <c r="J472" s="4">
        <v>1</v>
      </c>
    </row>
    <row r="473" spans="1:10" x14ac:dyDescent="0.15">
      <c r="A473" s="4">
        <v>11</v>
      </c>
      <c r="B473" s="4">
        <v>472</v>
      </c>
      <c r="C473" s="4">
        <v>2769</v>
      </c>
      <c r="D473" s="5" t="s">
        <v>1441</v>
      </c>
      <c r="E473" s="6">
        <v>100000000</v>
      </c>
      <c r="F473" s="4">
        <v>6500</v>
      </c>
      <c r="G473" s="4">
        <v>565</v>
      </c>
      <c r="H473" s="4">
        <v>0</v>
      </c>
      <c r="I473" s="4">
        <v>0</v>
      </c>
      <c r="J473" s="4">
        <v>1</v>
      </c>
    </row>
    <row r="474" spans="1:10" x14ac:dyDescent="0.15">
      <c r="A474" s="4">
        <v>2</v>
      </c>
      <c r="B474" s="4">
        <v>473</v>
      </c>
      <c r="C474" s="4">
        <v>2764</v>
      </c>
      <c r="D474" s="5" t="s">
        <v>1442</v>
      </c>
      <c r="E474" s="6">
        <v>94629426</v>
      </c>
      <c r="F474" s="4">
        <v>13000</v>
      </c>
      <c r="G474" s="4">
        <v>9593</v>
      </c>
      <c r="H474" s="4">
        <v>0</v>
      </c>
      <c r="I474" s="4">
        <v>0</v>
      </c>
      <c r="J474" s="4">
        <v>1</v>
      </c>
    </row>
    <row r="475" spans="1:10" x14ac:dyDescent="0.15">
      <c r="A475" s="4">
        <v>1</v>
      </c>
      <c r="B475" s="4">
        <v>474</v>
      </c>
      <c r="C475" s="4">
        <v>2746</v>
      </c>
      <c r="D475" s="5" t="s">
        <v>1443</v>
      </c>
      <c r="E475" s="6">
        <v>55689752</v>
      </c>
      <c r="F475" s="4">
        <v>30500</v>
      </c>
      <c r="G475" s="4">
        <v>420</v>
      </c>
      <c r="H475" s="4">
        <v>0</v>
      </c>
      <c r="I475" s="4">
        <v>0</v>
      </c>
      <c r="J475" s="4">
        <v>0</v>
      </c>
    </row>
    <row r="476" spans="1:10" x14ac:dyDescent="0.15">
      <c r="A476" s="4">
        <v>12</v>
      </c>
      <c r="B476" s="4">
        <v>475</v>
      </c>
      <c r="C476" s="4">
        <v>2739</v>
      </c>
      <c r="D476" s="5" t="s">
        <v>1444</v>
      </c>
      <c r="E476" s="6">
        <v>650000</v>
      </c>
      <c r="F476" s="4">
        <v>10000</v>
      </c>
      <c r="G476" s="4">
        <v>4</v>
      </c>
      <c r="H476" s="4">
        <v>0</v>
      </c>
      <c r="I476" s="4">
        <v>0</v>
      </c>
      <c r="J476" s="4">
        <v>1</v>
      </c>
    </row>
    <row r="477" spans="1:10" x14ac:dyDescent="0.15">
      <c r="A477" s="4">
        <v>7</v>
      </c>
      <c r="B477" s="4">
        <v>476</v>
      </c>
      <c r="C477" s="4">
        <v>2733</v>
      </c>
      <c r="D477" s="5" t="s">
        <v>1445</v>
      </c>
      <c r="E477" s="6">
        <v>31280619</v>
      </c>
      <c r="F477" s="4">
        <v>5812</v>
      </c>
      <c r="G477" s="4">
        <v>183</v>
      </c>
      <c r="H477" s="4">
        <v>0</v>
      </c>
      <c r="I477" s="4">
        <v>0</v>
      </c>
      <c r="J477" s="4">
        <v>0</v>
      </c>
    </row>
    <row r="478" spans="1:10" x14ac:dyDescent="0.15">
      <c r="A478" s="4">
        <v>20</v>
      </c>
      <c r="B478" s="4">
        <v>477</v>
      </c>
      <c r="C478" s="4">
        <v>2732</v>
      </c>
      <c r="D478" s="5" t="s">
        <v>1446</v>
      </c>
      <c r="E478" s="6">
        <v>78000000</v>
      </c>
      <c r="F478" s="4">
        <v>9200</v>
      </c>
      <c r="G478" s="4">
        <v>450</v>
      </c>
      <c r="H478" s="4">
        <v>0</v>
      </c>
      <c r="I478" s="4">
        <v>0</v>
      </c>
      <c r="J478" s="4">
        <v>1</v>
      </c>
    </row>
    <row r="479" spans="1:10" x14ac:dyDescent="0.15">
      <c r="A479" s="4">
        <v>7</v>
      </c>
      <c r="B479" s="4">
        <v>478</v>
      </c>
      <c r="C479" s="4">
        <v>2719</v>
      </c>
      <c r="D479" s="5" t="s">
        <v>1447</v>
      </c>
      <c r="E479" s="6">
        <v>26429464</v>
      </c>
      <c r="F479" s="4">
        <v>10114</v>
      </c>
      <c r="G479" s="4">
        <v>155</v>
      </c>
      <c r="H479" s="4">
        <v>0</v>
      </c>
      <c r="I479" s="4">
        <v>0</v>
      </c>
      <c r="J479" s="4">
        <v>0</v>
      </c>
    </row>
    <row r="480" spans="1:10" x14ac:dyDescent="0.15">
      <c r="A480" s="4">
        <v>4</v>
      </c>
      <c r="B480" s="4">
        <v>479</v>
      </c>
      <c r="C480" s="4">
        <v>2699</v>
      </c>
      <c r="D480" s="5" t="s">
        <v>1448</v>
      </c>
      <c r="E480" s="6">
        <v>112935863</v>
      </c>
      <c r="F480" s="4">
        <v>15257</v>
      </c>
      <c r="G480" s="4">
        <v>543</v>
      </c>
      <c r="H480" s="4">
        <v>0</v>
      </c>
      <c r="I480" s="4">
        <v>0</v>
      </c>
      <c r="J480" s="4">
        <v>1</v>
      </c>
    </row>
    <row r="481" spans="1:10" x14ac:dyDescent="0.15">
      <c r="A481" s="4">
        <v>10</v>
      </c>
      <c r="B481" s="4">
        <v>480</v>
      </c>
      <c r="C481" s="4">
        <v>2695</v>
      </c>
      <c r="D481" s="5" t="s">
        <v>1449</v>
      </c>
      <c r="E481" s="6">
        <v>35725701</v>
      </c>
      <c r="F481" s="4">
        <v>8709</v>
      </c>
      <c r="G481" s="4">
        <v>54</v>
      </c>
      <c r="H481" s="4">
        <v>0</v>
      </c>
      <c r="I481" s="4">
        <v>0</v>
      </c>
      <c r="J481" s="4">
        <v>0</v>
      </c>
    </row>
    <row r="482" spans="1:10" x14ac:dyDescent="0.15">
      <c r="A482" s="4">
        <v>13</v>
      </c>
      <c r="B482" s="4">
        <v>481</v>
      </c>
      <c r="C482" s="4">
        <v>2678</v>
      </c>
      <c r="D482" s="5" t="s">
        <v>1450</v>
      </c>
      <c r="E482" s="6">
        <v>3000000</v>
      </c>
      <c r="F482" s="4">
        <v>5000</v>
      </c>
      <c r="G482" s="4">
        <v>25</v>
      </c>
      <c r="H482" s="4">
        <v>0</v>
      </c>
      <c r="I482" s="4">
        <v>0</v>
      </c>
      <c r="J482" s="4">
        <v>1</v>
      </c>
    </row>
    <row r="483" spans="1:10" x14ac:dyDescent="0.15">
      <c r="A483" s="4">
        <v>9</v>
      </c>
      <c r="B483" s="4">
        <v>482</v>
      </c>
      <c r="C483" s="4">
        <v>2677</v>
      </c>
      <c r="D483" s="5" t="s">
        <v>1451</v>
      </c>
      <c r="E483" s="6">
        <v>27278412</v>
      </c>
      <c r="F483" s="4">
        <v>8390</v>
      </c>
      <c r="G483" s="4">
        <v>218</v>
      </c>
      <c r="H483" s="4">
        <v>0</v>
      </c>
      <c r="I483" s="4">
        <v>0</v>
      </c>
      <c r="J483" s="4">
        <v>1</v>
      </c>
    </row>
    <row r="484" spans="1:10" x14ac:dyDescent="0.15">
      <c r="A484" s="4">
        <v>20</v>
      </c>
      <c r="B484" s="4">
        <v>483</v>
      </c>
      <c r="C484" s="4">
        <v>2672</v>
      </c>
      <c r="D484" s="5" t="s">
        <v>1452</v>
      </c>
      <c r="E484" s="6">
        <v>90000000</v>
      </c>
      <c r="F484" s="4">
        <v>9000</v>
      </c>
      <c r="G484" s="4">
        <v>300</v>
      </c>
      <c r="H484" s="4">
        <v>0</v>
      </c>
      <c r="I484" s="4">
        <v>0</v>
      </c>
      <c r="J484" s="4">
        <v>1</v>
      </c>
    </row>
    <row r="485" spans="1:10" x14ac:dyDescent="0.15">
      <c r="A485" s="4">
        <v>13</v>
      </c>
      <c r="B485" s="4">
        <v>484</v>
      </c>
      <c r="C485" s="4">
        <v>2669</v>
      </c>
      <c r="D485" s="5" t="s">
        <v>1453</v>
      </c>
      <c r="E485" s="6">
        <v>22229771</v>
      </c>
      <c r="F485" s="4">
        <v>6600</v>
      </c>
      <c r="G485" s="4">
        <v>126</v>
      </c>
      <c r="H485" s="4">
        <v>0</v>
      </c>
      <c r="I485" s="4">
        <v>0</v>
      </c>
      <c r="J485" s="4">
        <v>0</v>
      </c>
    </row>
    <row r="486" spans="1:10" x14ac:dyDescent="0.15">
      <c r="A486" s="4">
        <v>16</v>
      </c>
      <c r="B486" s="4">
        <v>485</v>
      </c>
      <c r="C486" s="4">
        <v>2668</v>
      </c>
      <c r="D486" s="5" t="s">
        <v>1454</v>
      </c>
      <c r="E486" s="6">
        <v>40000000</v>
      </c>
      <c r="F486" s="4">
        <v>6000</v>
      </c>
      <c r="G486" s="4">
        <v>116</v>
      </c>
      <c r="H486" s="4">
        <v>1</v>
      </c>
      <c r="I486" s="4">
        <v>0</v>
      </c>
      <c r="J486" s="4">
        <v>1</v>
      </c>
    </row>
    <row r="487" spans="1:10" x14ac:dyDescent="0.15">
      <c r="A487" s="4">
        <v>3</v>
      </c>
      <c r="B487" s="4">
        <v>486</v>
      </c>
      <c r="C487" s="4">
        <v>2659</v>
      </c>
      <c r="D487" s="5" t="s">
        <v>1455</v>
      </c>
      <c r="E487" s="6">
        <v>37405935</v>
      </c>
      <c r="F487" s="4">
        <v>8161</v>
      </c>
      <c r="G487" s="4">
        <v>81</v>
      </c>
      <c r="H487" s="4">
        <v>0</v>
      </c>
      <c r="I487" s="4">
        <v>0</v>
      </c>
      <c r="J487" s="4">
        <v>0</v>
      </c>
    </row>
    <row r="488" spans="1:10" x14ac:dyDescent="0.15">
      <c r="A488" s="4">
        <v>13</v>
      </c>
      <c r="B488" s="4">
        <v>487</v>
      </c>
      <c r="C488" s="4">
        <v>2650</v>
      </c>
      <c r="D488" s="5" t="s">
        <v>1456</v>
      </c>
      <c r="E488" s="6">
        <v>7726705</v>
      </c>
      <c r="F488" s="4">
        <v>5200</v>
      </c>
      <c r="G488" s="4">
        <v>44</v>
      </c>
      <c r="H488" s="4">
        <v>0</v>
      </c>
      <c r="I488" s="4">
        <v>0</v>
      </c>
      <c r="J488" s="4">
        <v>0</v>
      </c>
    </row>
    <row r="489" spans="1:10" x14ac:dyDescent="0.15">
      <c r="A489" s="4">
        <v>17</v>
      </c>
      <c r="B489" s="4">
        <v>488</v>
      </c>
      <c r="C489" s="4">
        <v>2638</v>
      </c>
      <c r="D489" s="5" t="s">
        <v>1457</v>
      </c>
      <c r="E489" s="6">
        <v>77537062</v>
      </c>
      <c r="F489" s="4">
        <v>119000</v>
      </c>
      <c r="G489" s="4">
        <v>603</v>
      </c>
      <c r="H489" s="4">
        <v>0</v>
      </c>
      <c r="I489" s="4">
        <v>0</v>
      </c>
      <c r="J489" s="4">
        <v>1</v>
      </c>
    </row>
    <row r="490" spans="1:10" x14ac:dyDescent="0.15">
      <c r="A490" s="4">
        <v>2</v>
      </c>
      <c r="B490" s="4">
        <v>489</v>
      </c>
      <c r="C490" s="4">
        <v>2627</v>
      </c>
      <c r="D490" s="5" t="s">
        <v>1458</v>
      </c>
      <c r="E490" s="6">
        <v>547000000</v>
      </c>
      <c r="F490" s="4">
        <v>13787</v>
      </c>
      <c r="G490" s="4">
        <v>2080</v>
      </c>
      <c r="H490" s="4">
        <v>0</v>
      </c>
      <c r="I490" s="4">
        <v>0</v>
      </c>
      <c r="J490" s="4">
        <v>0</v>
      </c>
    </row>
    <row r="491" spans="1:10" x14ac:dyDescent="0.15">
      <c r="A491" s="4">
        <v>8</v>
      </c>
      <c r="B491" s="4">
        <v>490</v>
      </c>
      <c r="C491" s="4">
        <v>2623</v>
      </c>
      <c r="D491" s="5" t="s">
        <v>1459</v>
      </c>
      <c r="E491" s="6">
        <v>680000000</v>
      </c>
      <c r="F491" s="4">
        <v>18000</v>
      </c>
      <c r="G491" s="4">
        <v>3200</v>
      </c>
      <c r="H491" s="4">
        <v>0</v>
      </c>
      <c r="I491" s="4">
        <v>0</v>
      </c>
      <c r="J491" s="4">
        <v>1</v>
      </c>
    </row>
    <row r="492" spans="1:10" x14ac:dyDescent="0.15">
      <c r="A492" s="4">
        <v>8</v>
      </c>
      <c r="B492" s="4">
        <v>491</v>
      </c>
      <c r="C492" s="4">
        <v>2621</v>
      </c>
      <c r="D492" s="5" t="s">
        <v>1460</v>
      </c>
      <c r="E492" s="6">
        <v>226941860</v>
      </c>
      <c r="F492" s="4">
        <v>7417</v>
      </c>
      <c r="G492" s="4">
        <v>763</v>
      </c>
      <c r="H492" s="4">
        <v>1</v>
      </c>
      <c r="I492" s="4">
        <v>1</v>
      </c>
      <c r="J492" s="4">
        <v>0</v>
      </c>
    </row>
    <row r="493" spans="1:10" x14ac:dyDescent="0.15">
      <c r="A493" s="4">
        <v>14</v>
      </c>
      <c r="B493" s="4">
        <v>492</v>
      </c>
      <c r="C493" s="4">
        <v>2620</v>
      </c>
      <c r="D493" s="5" t="s">
        <v>1461</v>
      </c>
      <c r="E493" s="6">
        <v>22673457</v>
      </c>
      <c r="F493" s="4">
        <v>10750</v>
      </c>
      <c r="G493" s="4">
        <v>156</v>
      </c>
      <c r="H493" s="4">
        <v>0</v>
      </c>
      <c r="I493" s="4">
        <v>0</v>
      </c>
      <c r="J493" s="4">
        <v>0</v>
      </c>
    </row>
    <row r="494" spans="1:10" x14ac:dyDescent="0.15">
      <c r="A494" s="4">
        <v>9</v>
      </c>
      <c r="B494" s="4">
        <v>493</v>
      </c>
      <c r="C494" s="4">
        <v>2605</v>
      </c>
      <c r="D494" s="5" t="s">
        <v>1462</v>
      </c>
      <c r="E494" s="6">
        <v>13500000</v>
      </c>
      <c r="F494" s="4">
        <v>15000</v>
      </c>
      <c r="G494" s="4">
        <v>225</v>
      </c>
      <c r="H494" s="4">
        <v>0</v>
      </c>
      <c r="I494" s="4">
        <v>0</v>
      </c>
      <c r="J494" s="4">
        <v>1</v>
      </c>
    </row>
    <row r="495" spans="1:10" x14ac:dyDescent="0.15">
      <c r="A495" s="4">
        <v>5</v>
      </c>
      <c r="B495" s="4">
        <v>494</v>
      </c>
      <c r="C495" s="4">
        <v>2601</v>
      </c>
      <c r="D495" s="5" t="s">
        <v>1463</v>
      </c>
      <c r="E495" s="6">
        <v>10000000</v>
      </c>
      <c r="F495" s="4">
        <v>2000</v>
      </c>
      <c r="G495" s="4">
        <v>75</v>
      </c>
      <c r="H495" s="4">
        <v>0</v>
      </c>
      <c r="I495" s="4">
        <v>1</v>
      </c>
      <c r="J495" s="4">
        <v>1</v>
      </c>
    </row>
    <row r="496" spans="1:10" x14ac:dyDescent="0.15">
      <c r="A496" s="4">
        <v>13</v>
      </c>
      <c r="B496" s="4">
        <v>495</v>
      </c>
      <c r="C496" s="4">
        <v>2587</v>
      </c>
      <c r="D496" s="5" t="s">
        <v>1464</v>
      </c>
      <c r="E496" s="6">
        <v>7919528</v>
      </c>
      <c r="F496" s="4">
        <v>7950</v>
      </c>
      <c r="G496" s="4">
        <v>45</v>
      </c>
      <c r="H496" s="4">
        <v>0</v>
      </c>
      <c r="I496" s="4">
        <v>0</v>
      </c>
      <c r="J496" s="4">
        <v>0</v>
      </c>
    </row>
    <row r="497" spans="1:10" x14ac:dyDescent="0.15">
      <c r="A497" s="4">
        <v>8</v>
      </c>
      <c r="B497" s="4">
        <v>496</v>
      </c>
      <c r="C497" s="4">
        <v>2582</v>
      </c>
      <c r="D497" s="5" t="s">
        <v>1465</v>
      </c>
      <c r="E497" s="6">
        <v>115812237</v>
      </c>
      <c r="F497" s="4">
        <v>2700</v>
      </c>
      <c r="G497" s="4">
        <v>371</v>
      </c>
      <c r="H497" s="4">
        <v>0</v>
      </c>
      <c r="I497" s="4">
        <v>0</v>
      </c>
      <c r="J497" s="4">
        <v>0</v>
      </c>
    </row>
    <row r="498" spans="1:10" x14ac:dyDescent="0.15">
      <c r="A498" s="4">
        <v>4</v>
      </c>
      <c r="B498" s="4">
        <v>497</v>
      </c>
      <c r="C498" s="4">
        <v>2576</v>
      </c>
      <c r="D498" s="5" t="s">
        <v>1466</v>
      </c>
      <c r="E498" s="6">
        <v>19652638</v>
      </c>
      <c r="F498" s="4">
        <v>5478</v>
      </c>
      <c r="G498" s="4">
        <v>94</v>
      </c>
      <c r="H498" s="4">
        <v>0</v>
      </c>
      <c r="I498" s="4">
        <v>0</v>
      </c>
      <c r="J498" s="4">
        <v>0</v>
      </c>
    </row>
    <row r="499" spans="1:10" x14ac:dyDescent="0.15">
      <c r="A499" s="4">
        <v>3</v>
      </c>
      <c r="B499" s="4">
        <v>498</v>
      </c>
      <c r="C499" s="4">
        <v>2575</v>
      </c>
      <c r="D499" s="5" t="s">
        <v>1467</v>
      </c>
      <c r="E499" s="6">
        <v>58571811</v>
      </c>
      <c r="F499" s="4">
        <v>13300</v>
      </c>
      <c r="G499" s="4">
        <v>127</v>
      </c>
      <c r="H499" s="4">
        <v>0</v>
      </c>
      <c r="I499" s="4">
        <v>0</v>
      </c>
      <c r="J499" s="4">
        <v>0</v>
      </c>
    </row>
    <row r="500" spans="1:10" x14ac:dyDescent="0.15">
      <c r="A500" s="4">
        <v>9</v>
      </c>
      <c r="B500" s="4">
        <v>499</v>
      </c>
      <c r="C500" s="4">
        <v>2574</v>
      </c>
      <c r="D500" s="5" t="s">
        <v>1468</v>
      </c>
      <c r="E500" s="6">
        <v>33982126</v>
      </c>
      <c r="F500" s="4" t="s">
        <v>63</v>
      </c>
      <c r="G500" s="4">
        <v>271</v>
      </c>
      <c r="H500" s="4">
        <v>0</v>
      </c>
      <c r="I500" s="4">
        <v>0</v>
      </c>
      <c r="J500" s="4">
        <v>0</v>
      </c>
    </row>
    <row r="501" spans="1:10" x14ac:dyDescent="0.15">
      <c r="A501" s="4">
        <v>20</v>
      </c>
      <c r="B501" s="4">
        <v>500</v>
      </c>
      <c r="C501" s="4">
        <v>2573</v>
      </c>
      <c r="D501" s="5" t="s">
        <v>1469</v>
      </c>
      <c r="E501" s="6">
        <v>92999390</v>
      </c>
      <c r="F501" s="4">
        <v>11300</v>
      </c>
      <c r="G501" s="4">
        <v>461</v>
      </c>
      <c r="H501" s="4">
        <v>0</v>
      </c>
      <c r="I501" s="4">
        <v>0</v>
      </c>
      <c r="J501" s="4">
        <v>0</v>
      </c>
    </row>
  </sheetData>
  <autoFilter ref="A1:J501" xr:uid="{00000000-0001-0000-0100-000000000000}">
    <sortState xmlns:xlrd2="http://schemas.microsoft.com/office/spreadsheetml/2017/richdata2" ref="A2:J501">
      <sortCondition ref="B1:B501"/>
    </sortState>
  </autoFilter>
  <sortState xmlns:xlrd2="http://schemas.microsoft.com/office/spreadsheetml/2017/richdata2" ref="A2:J501">
    <sortCondition ref="A2:A501"/>
  </sortState>
  <printOptions gridLines="1" gridLinesSet="0"/>
  <pageMargins left="0.75" right="0.75" top="1" bottom="1" header="0.5" footer="0.5"/>
  <pageSetup paperSize="9" orientation="portrait" horizontalDpi="0" verticalDpi="0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>
      <selection activeCell="B20" sqref="B20"/>
    </sheetView>
  </sheetViews>
  <sheetFormatPr baseColWidth="10" defaultColWidth="8.75" defaultRowHeight="11" x14ac:dyDescent="0.15"/>
  <cols>
    <col min="1" max="1" width="3.25" customWidth="1"/>
  </cols>
  <sheetData>
    <row r="1" spans="1:2" x14ac:dyDescent="0.15">
      <c r="A1">
        <v>1</v>
      </c>
      <c r="B1" s="2" t="s">
        <v>1470</v>
      </c>
    </row>
    <row r="2" spans="1:2" x14ac:dyDescent="0.15">
      <c r="A2">
        <v>2</v>
      </c>
      <c r="B2" s="2" t="s">
        <v>1471</v>
      </c>
    </row>
    <row r="3" spans="1:2" x14ac:dyDescent="0.15">
      <c r="A3">
        <v>3</v>
      </c>
      <c r="B3" s="2" t="s">
        <v>1472</v>
      </c>
    </row>
    <row r="4" spans="1:2" x14ac:dyDescent="0.15">
      <c r="A4">
        <v>4</v>
      </c>
      <c r="B4" s="2" t="s">
        <v>1473</v>
      </c>
    </row>
    <row r="5" spans="1:2" x14ac:dyDescent="0.15">
      <c r="A5">
        <v>5</v>
      </c>
      <c r="B5" s="2" t="s">
        <v>1474</v>
      </c>
    </row>
    <row r="6" spans="1:2" x14ac:dyDescent="0.15">
      <c r="A6">
        <v>6</v>
      </c>
      <c r="B6" s="2" t="s">
        <v>1475</v>
      </c>
    </row>
    <row r="7" spans="1:2" x14ac:dyDescent="0.15">
      <c r="A7">
        <v>7</v>
      </c>
      <c r="B7" s="2" t="s">
        <v>1476</v>
      </c>
    </row>
    <row r="8" spans="1:2" x14ac:dyDescent="0.15">
      <c r="A8">
        <v>8</v>
      </c>
      <c r="B8" s="2" t="s">
        <v>1477</v>
      </c>
    </row>
    <row r="9" spans="1:2" x14ac:dyDescent="0.15">
      <c r="A9">
        <v>9</v>
      </c>
      <c r="B9" s="2" t="s">
        <v>1478</v>
      </c>
    </row>
    <row r="10" spans="1:2" x14ac:dyDescent="0.15">
      <c r="A10">
        <v>10</v>
      </c>
      <c r="B10" s="2" t="s">
        <v>1479</v>
      </c>
    </row>
    <row r="11" spans="1:2" x14ac:dyDescent="0.15">
      <c r="A11">
        <v>11</v>
      </c>
      <c r="B11" s="2" t="s">
        <v>1480</v>
      </c>
    </row>
    <row r="12" spans="1:2" x14ac:dyDescent="0.15">
      <c r="A12">
        <v>12</v>
      </c>
      <c r="B12" s="2" t="s">
        <v>1481</v>
      </c>
    </row>
    <row r="13" spans="1:2" x14ac:dyDescent="0.15">
      <c r="A13">
        <v>13</v>
      </c>
      <c r="B13" s="2" t="s">
        <v>1482</v>
      </c>
    </row>
    <row r="14" spans="1:2" x14ac:dyDescent="0.15">
      <c r="A14">
        <v>14</v>
      </c>
      <c r="B14" s="2" t="s">
        <v>1483</v>
      </c>
    </row>
    <row r="15" spans="1:2" x14ac:dyDescent="0.15">
      <c r="A15">
        <v>15</v>
      </c>
      <c r="B15" s="2" t="s">
        <v>1484</v>
      </c>
    </row>
    <row r="16" spans="1:2" x14ac:dyDescent="0.15">
      <c r="A16">
        <v>16</v>
      </c>
      <c r="B16" s="2" t="s">
        <v>1485</v>
      </c>
    </row>
    <row r="17" spans="1:2" x14ac:dyDescent="0.15">
      <c r="A17">
        <v>17</v>
      </c>
      <c r="B17" s="2" t="s">
        <v>1486</v>
      </c>
    </row>
    <row r="18" spans="1:2" x14ac:dyDescent="0.15">
      <c r="A18">
        <v>18</v>
      </c>
      <c r="B18" s="2" t="s">
        <v>1487</v>
      </c>
    </row>
    <row r="19" spans="1:2" x14ac:dyDescent="0.15">
      <c r="A19">
        <v>19</v>
      </c>
      <c r="B19" s="2" t="s">
        <v>1488</v>
      </c>
    </row>
    <row r="20" spans="1:2" x14ac:dyDescent="0.15">
      <c r="A20">
        <v>20</v>
      </c>
      <c r="B20" s="2" t="s">
        <v>1489</v>
      </c>
    </row>
  </sheetData>
  <printOptions gridLines="1" gridLinesSet="0"/>
  <pageMargins left="0.75" right="0.75" top="1" bottom="1" header="0.5" footer="0.5"/>
  <pageSetup paperSize="9" orientation="portrait" horizontalDpi="0" verticalDpi="0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listing</vt:lpstr>
      <vt:lpstr>By industry</vt:lpstr>
      <vt:lpstr>Industry codes</vt:lpstr>
    </vt:vector>
  </TitlesOfParts>
  <Manager/>
  <Company>BI Norwegian Business School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Espen Andersen</dc:creator>
  <cp:keywords/>
  <dc:description>Student exercise based on InformationWEEK 1995 section about “InformationWEEK 500”.
Contact Espen Andersen (self@espen.com) for details and permission to use.</dc:description>
  <cp:lastModifiedBy>Lars Wien Tynes</cp:lastModifiedBy>
  <dcterms:created xsi:type="dcterms:W3CDTF">1997-08-29T13:32:04Z</dcterms:created>
  <dcterms:modified xsi:type="dcterms:W3CDTF">2025-08-26T15:24:54Z</dcterms:modified>
  <cp:category/>
</cp:coreProperties>
</file>